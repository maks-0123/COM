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Acceptance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ADRs" sheetId="6" state="visible" r:id="rId6"/>
    <sheet xmlns:r="http://schemas.openxmlformats.org/officeDocument/2006/relationships" name="Contract" sheetId="7" state="visible" r:id="rId7"/>
  </sheets>
  <definedNames>
    <definedName name="_xlnm._FilterDatabase" localSheetId="1" hidden="1">'Backlog'!$A$4:$H$20</definedName>
    <definedName name="_xlnm._FilterDatabase" localSheetId="3" hidden="1">'Acceptance'!$A$4:$F$24</definedName>
    <definedName name="_xlnm._FilterDatabase" localSheetId="4" hidden="1">'Risks'!$A$4:$H$16</definedName>
    <definedName name="_xlnm._FilterDatabase" localSheetId="6" hidden="1">'Contract'!$A$4:$E$32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475569"/>
      <sz val="10"/>
    </font>
    <font>
      <name val="Arial"/>
      <b val="1"/>
      <color rgb="000F172A"/>
      <sz val="12"/>
    </font>
    <font>
      <name val="Arial"/>
      <b val="1"/>
      <color rgb="000F172A"/>
      <sz val="9.5"/>
    </font>
    <font>
      <name val="Arial"/>
      <color rgb="001F2937"/>
      <sz val="9.5"/>
    </font>
    <font>
      <name val="Arial"/>
      <b val="1"/>
      <color rgb="00FFFFFF"/>
      <sz val="9.5"/>
    </font>
    <font>
      <name val="Arial"/>
      <b val="1"/>
      <color rgb="001F2937"/>
      <sz val="8.5"/>
    </font>
    <font>
      <name val="Arial"/>
      <color rgb="001F2937"/>
      <sz val="8.5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334155"/>
      <sz val="9"/>
    </font>
    <font>
      <name val="Arial"/>
      <b val="1"/>
      <color rgb="000F172A"/>
      <sz val="10"/>
    </font>
    <font>
      <name val="Arial"/>
      <b val="1"/>
      <color rgb="00334155"/>
      <sz val="8.5"/>
    </font>
    <font>
      <name val="Arial"/>
      <b val="1"/>
      <color rgb="00FFFFFF"/>
      <sz val="18"/>
    </font>
    <font>
      <name val="Arial"/>
      <b val="1"/>
      <color rgb="001F2937"/>
      <sz val="9"/>
    </font>
    <font>
      <name val="Arial"/>
      <b val="1"/>
      <color rgb="00FFFFFF"/>
      <sz val="10"/>
    </font>
    <font>
      <name val="Arial"/>
      <sz val="8.5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FFE4E6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6" fillId="2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3" fillId="0" borderId="0" pivotButton="0" quotePrefix="0" xfId="0"/>
    <xf numFmtId="0" fontId="9" fillId="2" borderId="1" pivotButton="0" quotePrefix="0" xfId="0"/>
    <xf numFmtId="0" fontId="10" fillId="5" borderId="1" applyAlignment="1" pivotButton="0" quotePrefix="0" xfId="0">
      <alignment vertical="center" indent="1"/>
    </xf>
    <xf numFmtId="0" fontId="10" fillId="6" borderId="1" applyAlignment="1" pivotButton="0" quotePrefix="0" xfId="0">
      <alignment vertical="center" indent="1"/>
    </xf>
    <xf numFmtId="0" fontId="11" fillId="0" borderId="0" applyAlignment="1" pivotButton="0" quotePrefix="0" xfId="0">
      <alignment vertical="top" wrapText="1" indent="1"/>
    </xf>
    <xf numFmtId="0" fontId="12" fillId="0" borderId="0" pivotButton="0" quotePrefix="0" xfId="0"/>
    <xf numFmtId="0" fontId="13" fillId="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7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0" fontId="15" fillId="5" borderId="1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left" vertical="top" wrapText="1" indent="1"/>
    </xf>
    <xf numFmtId="0" fontId="0" fillId="2" borderId="1" pivotButton="0" quotePrefix="0" xfId="0"/>
    <xf numFmtId="0" fontId="16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5" fillId="10" borderId="1" applyAlignment="1" pivotButton="0" quotePrefix="0" xfId="0">
      <alignment horizontal="left" vertical="center" wrapText="1" indent="1"/>
    </xf>
    <xf numFmtId="0" fontId="15" fillId="5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FE4E6"/>
        </patternFill>
      </fill>
    </dxf>
    <dxf>
      <font>
        <b val="1"/>
        <color rgb="00BE123C"/>
      </font>
      <fill>
        <patternFill patternType="solid">
          <fgColor rgb="00FFE4E6"/>
        </patternFill>
      </fill>
    </dxf>
    <dxf>
      <font>
        <b val="1"/>
        <color rgb="00B45309"/>
      </font>
      <fill>
        <patternFill patternType="solid">
          <fgColor rgb="00FEF3C7"/>
        </patternFill>
      </fill>
    </dxf>
    <dxf>
      <font>
        <b val="1"/>
        <color rgb="0015803D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Ideal hours by phase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'Overview'!$A$20:$A$25</f>
            </numRef>
          </cat>
          <val>
            <numRef>
              <f>'Overview'!$B$20:$B$25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26" customWidth="1" min="5" max="5"/>
    <col width="8" customWidth="1" min="6" max="6"/>
    <col width="12" customWidth="1" min="7" max="7"/>
    <col width="26" customWidth="1" min="8" max="8"/>
  </cols>
  <sheetData>
    <row r="1" ht="34" customHeight="1">
      <c r="A1" s="1" t="inlineStr">
        <is>
          <t>Production truck monitoring — MVP 0.1 plan tracker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A one-page dashboard for the two-week, file-backed MVP. The detailed plan and architecture are in Arch/MVP_Plan_and_Architecture.docx.</t>
        </is>
      </c>
    </row>
    <row r="4" ht="24" customHeight="1">
      <c r="A4" s="4" t="inlineStr">
        <is>
          <t>At a glance</t>
        </is>
      </c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6" t="inlineStr">
        <is>
          <t>Duration</t>
        </is>
      </c>
      <c r="B5" s="7" t="inlineStr">
        <is>
          <t>10 working days / 2 calendar weeks</t>
        </is>
      </c>
      <c r="C5" s="8" t="n"/>
      <c r="D5" s="8" t="n"/>
      <c r="E5" s="9" t="inlineStr">
        <is>
          <t>Phase</t>
        </is>
      </c>
      <c r="F5" s="9" t="inlineStr">
        <is>
          <t>Hours</t>
        </is>
      </c>
      <c r="G5" s="9" t="inlineStr">
        <is>
          <t>Calendar</t>
        </is>
      </c>
      <c r="H5" s="9" t="inlineStr">
        <is>
          <t>Outcome</t>
        </is>
      </c>
    </row>
    <row r="6" ht="28" customHeight="1">
      <c r="A6" s="6" t="inlineStr">
        <is>
          <t>Effort</t>
        </is>
      </c>
      <c r="B6" s="7" t="inlineStr">
        <is>
          <t>58 ideal hours + 15% buffer</t>
        </is>
      </c>
      <c r="C6" s="8" t="n"/>
      <c r="D6" s="8" t="n"/>
      <c r="E6" s="10" t="inlineStr">
        <is>
          <t>M0 · Contract and decisions</t>
        </is>
      </c>
      <c r="F6" s="11" t="n">
        <v>7</v>
      </c>
      <c r="G6" s="11" t="inlineStr">
        <is>
          <t>2–3 days</t>
        </is>
      </c>
      <c r="H6" s="11" t="inlineStr">
        <is>
          <t>Schema v1 + CRS agreed</t>
        </is>
      </c>
    </row>
    <row r="7" ht="28" customHeight="1">
      <c r="A7" s="6" t="inlineStr">
        <is>
          <t>Team</t>
        </is>
      </c>
      <c r="B7" s="7" t="inlineStr">
        <is>
          <t>1 frontend + part-time domain/design</t>
        </is>
      </c>
      <c r="C7" s="8" t="n"/>
      <c r="D7" s="8" t="n"/>
      <c r="E7" s="12" t="inlineStr">
        <is>
          <t>M1 · Skeleton and shell</t>
        </is>
      </c>
      <c r="F7" s="13" t="n">
        <v>6</v>
      </c>
      <c r="G7" s="13" t="inlineStr">
        <is>
          <t>1 day</t>
        </is>
      </c>
      <c r="H7" s="13" t="inlineStr">
        <is>
          <t>App shell + map</t>
        </is>
      </c>
    </row>
    <row r="8" ht="28" customHeight="1">
      <c r="A8" s="6" t="inlineStr">
        <is>
          <t>MVP scope</t>
        </is>
      </c>
      <c r="B8" s="7" t="inlineStr">
        <is>
          <t>JSON file → React → Leaflet map</t>
        </is>
      </c>
      <c r="C8" s="8" t="n"/>
      <c r="D8" s="8" t="n"/>
      <c r="E8" s="10" t="inlineStr">
        <is>
          <t>M2 · Data layer</t>
        </is>
      </c>
      <c r="F8" s="11" t="n">
        <v>10</v>
      </c>
      <c r="G8" s="11" t="inlineStr">
        <is>
          <t>2 days</t>
        </is>
      </c>
      <c r="H8" s="11" t="inlineStr">
        <is>
          <t>Domain + file adapter</t>
        </is>
      </c>
    </row>
    <row r="9" ht="28" customHeight="1">
      <c r="A9" s="6" t="inlineStr">
        <is>
          <t>Out of scope</t>
        </is>
      </c>
      <c r="B9" s="7" t="inlineStr">
        <is>
          <t>RSSI, Magma, MQTT, DB, auth</t>
        </is>
      </c>
      <c r="C9" s="8" t="n"/>
      <c r="D9" s="8" t="n"/>
      <c r="E9" s="12" t="inlineStr">
        <is>
          <t>M3 · Map and interaction</t>
        </is>
      </c>
      <c r="F9" s="13" t="n">
        <v>14</v>
      </c>
      <c r="G9" s="13" t="inlineStr">
        <is>
          <t>2–3 days</t>
        </is>
      </c>
      <c r="H9" s="13" t="inlineStr">
        <is>
          <t>Dots + selection</t>
        </is>
      </c>
    </row>
    <row r="10" ht="28" customHeight="1">
      <c r="A10" s="6" t="inlineStr">
        <is>
          <t>Definition of done</t>
        </is>
      </c>
      <c r="B10" s="7" t="inlineStr">
        <is>
          <t>20 acceptance checks signed</t>
        </is>
      </c>
      <c r="C10" s="8" t="n"/>
      <c r="D10" s="8" t="n"/>
      <c r="E10" s="10" t="inlineStr">
        <is>
          <t>M4 · States and polish</t>
        </is>
      </c>
      <c r="F10" s="11" t="n">
        <v>10</v>
      </c>
      <c r="G10" s="11" t="inlineStr">
        <is>
          <t>2 days</t>
        </is>
      </c>
      <c r="H10" s="11" t="inlineStr">
        <is>
          <t>States + a11y</t>
        </is>
      </c>
    </row>
    <row r="11" ht="28" customHeight="1">
      <c r="E11" s="12" t="inlineStr">
        <is>
          <t>M5 · Tests and handover</t>
        </is>
      </c>
      <c r="F11" s="13" t="n">
        <v>11</v>
      </c>
      <c r="G11" s="13" t="inlineStr">
        <is>
          <t>2 days</t>
        </is>
      </c>
      <c r="H11" s="13" t="inlineStr">
        <is>
          <t>Tests + deploy</t>
        </is>
      </c>
    </row>
    <row r="18">
      <c r="A18" s="14" t="inlineStr">
        <is>
          <t>Hours by phase</t>
        </is>
      </c>
    </row>
    <row r="19">
      <c r="A19" s="15" t="inlineStr">
        <is>
          <t>Phase</t>
        </is>
      </c>
      <c r="B19" s="15" t="inlineStr">
        <is>
          <t>Ideal hours</t>
        </is>
      </c>
    </row>
    <row r="20">
      <c r="A20" s="16" t="inlineStr">
        <is>
          <t>M0 · Contract and decisions</t>
        </is>
      </c>
      <c r="B20" s="16" t="n">
        <v>7</v>
      </c>
    </row>
    <row r="21">
      <c r="A21" s="17" t="inlineStr">
        <is>
          <t>M1 · Skeleton and shell</t>
        </is>
      </c>
      <c r="B21" s="17" t="n">
        <v>6</v>
      </c>
    </row>
    <row r="22">
      <c r="A22" s="16" t="inlineStr">
        <is>
          <t>M2 · Data layer</t>
        </is>
      </c>
      <c r="B22" s="16" t="n">
        <v>10</v>
      </c>
    </row>
    <row r="23">
      <c r="A23" s="17" t="inlineStr">
        <is>
          <t>M3 · Map and interaction</t>
        </is>
      </c>
      <c r="B23" s="17" t="n">
        <v>14</v>
      </c>
    </row>
    <row r="24">
      <c r="A24" s="16" t="inlineStr">
        <is>
          <t>M4 · States and polish</t>
        </is>
      </c>
      <c r="B24" s="16" t="n">
        <v>10</v>
      </c>
    </row>
    <row r="25">
      <c r="A25" s="17" t="inlineStr">
        <is>
          <t>M5 · Tests and handover</t>
        </is>
      </c>
      <c r="B25" s="17" t="n">
        <v>11</v>
      </c>
    </row>
    <row r="45" ht="24" customHeight="1">
      <c r="A45" s="4" t="inlineStr">
        <is>
          <t>How to use this tracker</t>
        </is>
      </c>
      <c r="B45" s="5" t="n"/>
      <c r="C45" s="5" t="n"/>
      <c r="D45" s="5" t="n"/>
      <c r="E45" s="5" t="n"/>
      <c r="F45" s="5" t="n"/>
      <c r="G45" s="5" t="n"/>
      <c r="H45" s="5" t="n"/>
    </row>
    <row r="46" ht="30" customHeight="1">
      <c r="A46" s="18" t="inlineStr">
        <is>
          <t>1. Start with the Backlog sheet. Move each task from Not started to In progress to Done. The 58 hours are ideal hours, not calendar hours.</t>
        </is>
      </c>
    </row>
    <row r="47" ht="30" customHeight="1">
      <c r="A47" s="18" t="inlineStr">
        <is>
          <t>2. Use the Calendar sheet for the two-week sequence. A gate is a demo, not a status meeting.</t>
        </is>
      </c>
    </row>
    <row r="48" ht="30" customHeight="1">
      <c r="A48" s="18" t="inlineStr">
        <is>
          <t>3. Record evidence in Acceptance as you demonstrate each check. A checked box means demonstrated, not implemented.</t>
        </is>
      </c>
    </row>
    <row r="49" ht="30" customHeight="1">
      <c r="A49" s="18" t="inlineStr">
        <is>
          <t>4. Review the Risks sheet at every gate. Update probability, impact, and trigger; do not leave a risk owner blank.</t>
        </is>
      </c>
    </row>
    <row r="50" ht="30" customHeight="1">
      <c r="A50" s="18" t="inlineStr">
        <is>
          <t>5. Keep ADRs current when a decision changes. The code and the document are the source of truth, not the spreadsheet.</t>
        </is>
      </c>
    </row>
    <row r="52">
      <c r="A52" s="19" t="inlineStr">
        <is>
          <t>Status legend</t>
        </is>
      </c>
    </row>
    <row r="53">
      <c r="A53" s="20" t="inlineStr">
        <is>
          <t>Not started</t>
        </is>
      </c>
      <c r="B53" s="21" t="inlineStr">
        <is>
          <t>In progress</t>
        </is>
      </c>
      <c r="C53" s="22" t="inlineStr">
        <is>
          <t>Blocked</t>
        </is>
      </c>
      <c r="D53" s="23" t="inlineStr">
        <is>
          <t>Done</t>
        </is>
      </c>
    </row>
  </sheetData>
  <mergeCells count="13">
    <mergeCell ref="B10:D10"/>
    <mergeCell ref="A50:H50"/>
    <mergeCell ref="A48:H48"/>
    <mergeCell ref="B5:D5"/>
    <mergeCell ref="A2:H2"/>
    <mergeCell ref="B8:D8"/>
    <mergeCell ref="B9:D9"/>
    <mergeCell ref="A49:H49"/>
    <mergeCell ref="A47:H47"/>
    <mergeCell ref="A1:H1"/>
    <mergeCell ref="A46:H46"/>
    <mergeCell ref="B7:D7"/>
    <mergeCell ref="B6:D6"/>
  </mergeCells>
  <printOptions horizontalCentered="1"/>
  <pageMargins left="0.3" right="0.3" top="0.4" bottom="0.4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8" customWidth="1" min="4" max="4"/>
    <col width="14" customWidth="1" min="5" max="5"/>
    <col width="18" customWidth="1" min="6" max="6"/>
    <col width="13" customWidth="1" min="7" max="7"/>
    <col width="46" customWidth="1" min="8" max="8"/>
    <col width="18" customWidth="1" min="10" max="10"/>
    <col width="10" customWidth="1" min="11" max="11"/>
  </cols>
  <sheetData>
    <row r="1" ht="34" customHeight="1">
      <c r="A1" s="24" t="inlineStr">
        <is>
          <t>Backlog and estimates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16 tasks, 58 ideal hours. Status values are validated; keep the Done when column testable.</t>
        </is>
      </c>
    </row>
    <row r="4" ht="30" customHeight="1">
      <c r="A4" s="9" t="inlineStr">
        <is>
          <t>ID</t>
        </is>
      </c>
      <c r="B4" s="9" t="inlineStr">
        <is>
          <t>Phase</t>
        </is>
      </c>
      <c r="C4" s="9" t="inlineStr">
        <is>
          <t>Task</t>
        </is>
      </c>
      <c r="D4" s="9" t="inlineStr">
        <is>
          <t>Hours</t>
        </is>
      </c>
      <c r="E4" s="9" t="inlineStr">
        <is>
          <t>Depends on</t>
        </is>
      </c>
      <c r="F4" s="9" t="inlineStr">
        <is>
          <t>Owner</t>
        </is>
      </c>
      <c r="G4" s="9" t="inlineStr">
        <is>
          <t>Status</t>
        </is>
      </c>
      <c r="H4" s="9" t="inlineStr">
        <is>
          <t>Done when</t>
        </is>
      </c>
      <c r="J4" s="15" t="inlineStr">
        <is>
          <t>Phase</t>
        </is>
      </c>
      <c r="K4" s="15" t="inlineStr">
        <is>
          <t>Hours</t>
        </is>
      </c>
    </row>
    <row r="5" ht="34" customHeight="1">
      <c r="A5" s="25" t="inlineStr">
        <is>
          <t>M0-1</t>
        </is>
      </c>
      <c r="B5" s="26" t="inlineStr">
        <is>
          <t>M0</t>
        </is>
      </c>
      <c r="C5" s="26" t="inlineStr">
        <is>
          <t>Contract review with producer and customer</t>
        </is>
      </c>
      <c r="D5" s="26" t="n">
        <v>4</v>
      </c>
      <c r="E5" s="26" t="inlineStr">
        <is>
          <t>—</t>
        </is>
      </c>
      <c r="F5" s="26" t="inlineStr">
        <is>
          <t>Frontend + domain</t>
        </is>
      </c>
      <c r="G5" s="26" t="inlineStr">
        <is>
          <t>Not started</t>
        </is>
      </c>
      <c r="H5" s="26" t="inlineStr">
        <is>
          <t>Schema v1 and sample signed off</t>
        </is>
      </c>
      <c r="J5" s="27" t="inlineStr">
        <is>
          <t>M0</t>
        </is>
      </c>
      <c r="K5" s="28">
        <f>SUMIF($B$5:$B$20,J5,$D$5:$D$20)</f>
        <v/>
      </c>
    </row>
    <row r="6" ht="34" customHeight="1">
      <c r="A6" s="29" t="inlineStr">
        <is>
          <t>M0-2</t>
        </is>
      </c>
      <c r="B6" s="30" t="inlineStr">
        <is>
          <t>M0</t>
        </is>
      </c>
      <c r="C6" s="30" t="inlineStr">
        <is>
          <t>Coordinate and map-provider decisions</t>
        </is>
      </c>
      <c r="D6" s="30" t="n">
        <v>3</v>
      </c>
      <c r="E6" s="30" t="inlineStr">
        <is>
          <t>—</t>
        </is>
      </c>
      <c r="F6" s="30" t="inlineStr">
        <is>
          <t>Frontend + domain</t>
        </is>
      </c>
      <c r="G6" s="30" t="inlineStr">
        <is>
          <t>Not started</t>
        </is>
      </c>
      <c r="H6" s="30" t="inlineStr">
        <is>
          <t>WGS84 confirmed; tiles/site plan chosen</t>
        </is>
      </c>
      <c r="J6" s="27" t="inlineStr">
        <is>
          <t>M1</t>
        </is>
      </c>
      <c r="K6" s="28">
        <f>SUMIF($B$5:$B$20,J6,$D$5:$D$20)</f>
        <v/>
      </c>
    </row>
    <row r="7" ht="34" customHeight="1">
      <c r="A7" s="25" t="inlineStr">
        <is>
          <t>M1-1</t>
        </is>
      </c>
      <c r="B7" s="26" t="inlineStr">
        <is>
          <t>M1</t>
        </is>
      </c>
      <c r="C7" s="26" t="inlineStr">
        <is>
          <t>Scaffold Vite + React + TS + lint/test</t>
        </is>
      </c>
      <c r="D7" s="26" t="n">
        <v>3</v>
      </c>
      <c r="E7" s="26" t="inlineStr">
        <is>
          <t>—</t>
        </is>
      </c>
      <c r="F7" s="26" t="inlineStr">
        <is>
          <t>Frontend</t>
        </is>
      </c>
      <c r="G7" s="26" t="inlineStr">
        <is>
          <t>Not started</t>
        </is>
      </c>
      <c r="H7" s="26" t="inlineStr">
        <is>
          <t>pnpm dev, lint, test, build work</t>
        </is>
      </c>
      <c r="J7" s="27" t="inlineStr">
        <is>
          <t>M2</t>
        </is>
      </c>
      <c r="K7" s="28">
        <f>SUMIF($B$5:$B$20,J7,$D$5:$D$20)</f>
        <v/>
      </c>
    </row>
    <row r="8" ht="34" customHeight="1">
      <c r="A8" s="29" t="inlineStr">
        <is>
          <t>M1-2</t>
        </is>
      </c>
      <c r="B8" s="30" t="inlineStr">
        <is>
          <t>M1</t>
        </is>
      </c>
      <c r="C8" s="30" t="inlineStr">
        <is>
          <t>App shell, providers, error boundary</t>
        </is>
      </c>
      <c r="D8" s="30" t="n">
        <v>3</v>
      </c>
      <c r="E8" s="30" t="inlineStr">
        <is>
          <t>M1-1</t>
        </is>
      </c>
      <c r="F8" s="30" t="inlineStr">
        <is>
          <t>Frontend</t>
        </is>
      </c>
      <c r="G8" s="30" t="inlineStr">
        <is>
          <t>Not started</t>
        </is>
      </c>
      <c r="H8" s="30" t="inlineStr">
        <is>
          <t>Blank page with header/footer and no errors</t>
        </is>
      </c>
      <c r="J8" s="27" t="inlineStr">
        <is>
          <t>M3</t>
        </is>
      </c>
      <c r="K8" s="28">
        <f>SUMIF($B$5:$B$20,J8,$D$5:$D$20)</f>
        <v/>
      </c>
    </row>
    <row r="9" ht="34" customHeight="1">
      <c r="A9" s="25" t="inlineStr">
        <is>
          <t>M2-1</t>
        </is>
      </c>
      <c r="B9" s="26" t="inlineStr">
        <is>
          <t>M2</t>
        </is>
      </c>
      <c r="C9" s="26" t="inlineStr">
        <is>
          <t>Domain types + Zod schemas + tests</t>
        </is>
      </c>
      <c r="D9" s="26" t="n">
        <v>4</v>
      </c>
      <c r="E9" s="26" t="inlineStr">
        <is>
          <t>M0-1</t>
        </is>
      </c>
      <c r="F9" s="26" t="inlineStr">
        <is>
          <t>Frontend</t>
        </is>
      </c>
      <c r="G9" s="26" t="inlineStr">
        <is>
          <t>Not started</t>
        </is>
      </c>
      <c r="H9" s="26" t="inlineStr">
        <is>
          <t>Valid/invalid fixtures behave as specified</t>
        </is>
      </c>
      <c r="J9" s="27" t="inlineStr">
        <is>
          <t>M4</t>
        </is>
      </c>
      <c r="K9" s="28">
        <f>SUMIF($B$5:$B$20,J9,$D$5:$D$20)</f>
        <v/>
      </c>
    </row>
    <row r="10" ht="34" customHeight="1">
      <c r="A10" s="29" t="inlineStr">
        <is>
          <t>M2-2</t>
        </is>
      </c>
      <c r="B10" s="30" t="inlineStr">
        <is>
          <t>M2</t>
        </is>
      </c>
      <c r="C10" s="30" t="inlineStr">
        <is>
          <t>JsonFileFleetRepository + typed errors</t>
        </is>
      </c>
      <c r="D10" s="30" t="n">
        <v>4</v>
      </c>
      <c r="E10" s="30" t="inlineStr">
        <is>
          <t>M2-1</t>
        </is>
      </c>
      <c r="F10" s="30" t="inlineStr">
        <is>
          <t>Frontend</t>
        </is>
      </c>
      <c r="G10" s="30" t="inlineStr">
        <is>
          <t>Not started</t>
        </is>
      </c>
      <c r="H10" s="30" t="inlineStr">
        <is>
          <t>Fetch, parse, partial failure, 404 covered</t>
        </is>
      </c>
      <c r="J10" s="27" t="inlineStr">
        <is>
          <t>M5</t>
        </is>
      </c>
      <c r="K10" s="28">
        <f>SUMIF($B$5:$B$20,J10,$D$5:$D$20)</f>
        <v/>
      </c>
    </row>
    <row r="11" ht="34" customHeight="1">
      <c r="A11" s="25" t="inlineStr">
        <is>
          <t>M2-3</t>
        </is>
      </c>
      <c r="B11" s="26" t="inlineStr">
        <is>
          <t>M2</t>
        </is>
      </c>
      <c r="C11" s="26" t="inlineStr">
        <is>
          <t>useFleetSnapshot + QueryClient</t>
        </is>
      </c>
      <c r="D11" s="26" t="n">
        <v>2</v>
      </c>
      <c r="E11" s="26" t="inlineStr">
        <is>
          <t>M2-2</t>
        </is>
      </c>
      <c r="F11" s="26" t="inlineStr">
        <is>
          <t>Frontend</t>
        </is>
      </c>
      <c r="G11" s="26" t="inlineStr">
        <is>
          <t>Not started</t>
        </is>
      </c>
      <c r="H11" s="26" t="inlineStr">
        <is>
          <t>Debug view updates every second</t>
        </is>
      </c>
    </row>
    <row r="12" ht="34" customHeight="1">
      <c r="A12" s="29" t="inlineStr">
        <is>
          <t>M3-1</t>
        </is>
      </c>
      <c r="B12" s="30" t="inlineStr">
        <is>
          <t>M3</t>
        </is>
      </c>
      <c r="C12" s="30" t="inlineStr">
        <is>
          <t>Map shell + station markers</t>
        </is>
      </c>
      <c r="D12" s="30" t="n">
        <v>5</v>
      </c>
      <c r="E12" s="30" t="inlineStr">
        <is>
          <t>M1-2</t>
        </is>
      </c>
      <c r="F12" s="30" t="inlineStr">
        <is>
          <t>Frontend</t>
        </is>
      </c>
      <c r="G12" s="30" t="inlineStr">
        <is>
          <t>Not started</t>
        </is>
      </c>
      <c r="H12" s="30" t="inlineStr">
        <is>
          <t>Map centred; stations and labels visible</t>
        </is>
      </c>
    </row>
    <row r="13" ht="34" customHeight="1">
      <c r="A13" s="25" t="inlineStr">
        <is>
          <t>M3-2</t>
        </is>
      </c>
      <c r="B13" s="26" t="inlineStr">
        <is>
          <t>M3</t>
        </is>
      </c>
      <c r="C13" s="26" t="inlineStr">
        <is>
          <t>Truck markers + status + accuracy</t>
        </is>
      </c>
      <c r="D13" s="26" t="n">
        <v>5</v>
      </c>
      <c r="E13" s="26" t="inlineStr">
        <is>
          <t>M3-1</t>
        </is>
      </c>
      <c r="F13" s="26" t="inlineStr">
        <is>
          <t>Frontend</t>
        </is>
      </c>
      <c r="G13" s="26" t="inlineStr">
        <is>
          <t>Not started</t>
        </is>
      </c>
      <c r="H13" s="26" t="inlineStr">
        <is>
          <t>Dots move; selected dot has a ring</t>
        </is>
      </c>
    </row>
    <row r="14" ht="34" customHeight="1">
      <c r="A14" s="29" t="inlineStr">
        <is>
          <t>M3-3</t>
        </is>
      </c>
      <c r="B14" s="30" t="inlineStr">
        <is>
          <t>M3</t>
        </is>
      </c>
      <c r="C14" s="30" t="inlineStr">
        <is>
          <t>Truck list + details panel + selection</t>
        </is>
      </c>
      <c r="D14" s="30" t="n">
        <v>4</v>
      </c>
      <c r="E14" s="30" t="inlineStr">
        <is>
          <t>M3-2</t>
        </is>
      </c>
      <c r="F14" s="30" t="inlineStr">
        <is>
          <t>Frontend</t>
        </is>
      </c>
      <c r="G14" s="30" t="inlineStr">
        <is>
          <t>Not started</t>
        </is>
      </c>
      <c r="H14" s="30" t="inlineStr">
        <is>
          <t>Map and list select the same object</t>
        </is>
      </c>
    </row>
    <row r="15" ht="34" customHeight="1">
      <c r="A15" s="25" t="inlineStr">
        <is>
          <t>M4-1</t>
        </is>
      </c>
      <c r="B15" s="26" t="inlineStr">
        <is>
          <t>M4</t>
        </is>
      </c>
      <c r="C15" s="26" t="inlineStr">
        <is>
          <t>Loading/empty/stale/error/partial states</t>
        </is>
      </c>
      <c r="D15" s="26" t="n">
        <v>4</v>
      </c>
      <c r="E15" s="26" t="inlineStr">
        <is>
          <t>M3-3</t>
        </is>
      </c>
      <c r="F15" s="26" t="inlineStr">
        <is>
          <t>Frontend</t>
        </is>
      </c>
      <c r="G15" s="26" t="inlineStr">
        <is>
          <t>Not started</t>
        </is>
      </c>
      <c r="H15" s="26" t="inlineStr">
        <is>
          <t>Every state can be triggered manually</t>
        </is>
      </c>
    </row>
    <row r="16" ht="34" customHeight="1">
      <c r="A16" s="29" t="inlineStr">
        <is>
          <t>M4-2</t>
        </is>
      </c>
      <c r="B16" s="30" t="inlineStr">
        <is>
          <t>M4</t>
        </is>
      </c>
      <c r="C16" s="30" t="inlineStr">
        <is>
          <t>Responsive layout + accessibility pass</t>
        </is>
      </c>
      <c r="D16" s="30" t="n">
        <v>3</v>
      </c>
      <c r="E16" s="30" t="inlineStr">
        <is>
          <t>M4-1</t>
        </is>
      </c>
      <c r="F16" s="30" t="inlineStr">
        <is>
          <t>Frontend + design</t>
        </is>
      </c>
      <c r="G16" s="30" t="inlineStr">
        <is>
          <t>Not started</t>
        </is>
      </c>
      <c r="H16" s="30" t="inlineStr">
        <is>
          <t>1024 px and mobile; keyboard path works</t>
        </is>
      </c>
    </row>
    <row r="17" ht="34" customHeight="1">
      <c r="A17" s="25" t="inlineStr">
        <is>
          <t>M4-3</t>
        </is>
      </c>
      <c r="B17" s="26" t="inlineStr">
        <is>
          <t>M4</t>
        </is>
      </c>
      <c r="C17" s="26" t="inlineStr">
        <is>
          <t>Data health panel + diagnostics</t>
        </is>
      </c>
      <c r="D17" s="26" t="n">
        <v>3</v>
      </c>
      <c r="E17" s="26" t="inlineStr">
        <is>
          <t>M4-1</t>
        </is>
      </c>
      <c r="F17" s="26" t="inlineStr">
        <is>
          <t>Frontend</t>
        </is>
      </c>
      <c r="G17" s="26" t="inlineStr">
        <is>
          <t>Not started</t>
        </is>
      </c>
      <c r="H17" s="26" t="inlineStr">
        <is>
          <t>Source, age, counts, skipped records visible</t>
        </is>
      </c>
    </row>
    <row r="18" ht="34" customHeight="1">
      <c r="A18" s="29" t="inlineStr">
        <is>
          <t>M5-1</t>
        </is>
      </c>
      <c r="B18" s="30" t="inlineStr">
        <is>
          <t>M5</t>
        </is>
      </c>
      <c r="C18" s="30" t="inlineStr">
        <is>
          <t>Unit/component/integration tests</t>
        </is>
      </c>
      <c r="D18" s="30" t="n">
        <v>5</v>
      </c>
      <c r="E18" s="30" t="inlineStr">
        <is>
          <t>M2-2, M3-3</t>
        </is>
      </c>
      <c r="F18" s="30" t="inlineStr">
        <is>
          <t>Frontend</t>
        </is>
      </c>
      <c r="G18" s="30" t="inlineStr">
        <is>
          <t>Not started</t>
        </is>
      </c>
      <c r="H18" s="30" t="inlineStr">
        <is>
          <t>Test plan from section 9.2 is covered</t>
        </is>
      </c>
    </row>
    <row r="19" ht="34" customHeight="1">
      <c r="A19" s="25" t="inlineStr">
        <is>
          <t>M5-2</t>
        </is>
      </c>
      <c r="B19" s="26" t="inlineStr">
        <is>
          <t>M5</t>
        </is>
      </c>
      <c r="C19" s="26" t="inlineStr">
        <is>
          <t>Production build, Nginx, README, runbook</t>
        </is>
      </c>
      <c r="D19" s="26" t="n">
        <v>4</v>
      </c>
      <c r="E19" s="26" t="inlineStr">
        <is>
          <t>M4-2</t>
        </is>
      </c>
      <c r="F19" s="26" t="inlineStr">
        <is>
          <t>Frontend</t>
        </is>
      </c>
      <c r="G19" s="26" t="inlineStr">
        <is>
          <t>Not started</t>
        </is>
      </c>
      <c r="H19" s="26" t="inlineStr">
        <is>
          <t>Deployed URL; docs reviewed</t>
        </is>
      </c>
    </row>
    <row r="20" ht="34" customHeight="1">
      <c r="A20" s="29" t="inlineStr">
        <is>
          <t>M5-3</t>
        </is>
      </c>
      <c r="B20" s="30" t="inlineStr">
        <is>
          <t>M5</t>
        </is>
      </c>
      <c r="C20" s="30" t="inlineStr">
        <is>
          <t>Demo data, rehearsal, handover</t>
        </is>
      </c>
      <c r="D20" s="30" t="n">
        <v>2</v>
      </c>
      <c r="E20" s="30" t="inlineStr">
        <is>
          <t>M5-2</t>
        </is>
      </c>
      <c r="F20" s="30" t="inlineStr">
        <is>
          <t>Frontend + product</t>
        </is>
      </c>
      <c r="G20" s="30" t="inlineStr">
        <is>
          <t>Not started</t>
        </is>
      </c>
      <c r="H20" s="30" t="inlineStr">
        <is>
          <t>Demo runs twice without intervention</t>
        </is>
      </c>
    </row>
    <row r="21">
      <c r="A21" s="15" t="inlineStr">
        <is>
          <t>Total</t>
        </is>
      </c>
      <c r="B21" s="31" t="n"/>
      <c r="C21" s="31" t="n"/>
      <c r="D21" s="32">
        <f>SUM(D5:D20)</f>
        <v/>
      </c>
      <c r="E21" s="31" t="n"/>
      <c r="F21" s="31" t="n"/>
      <c r="G21" s="31" t="n"/>
      <c r="H21" s="31" t="n"/>
    </row>
  </sheetData>
  <autoFilter ref="A4:H20"/>
  <mergeCells count="3">
    <mergeCell ref="A2:H2"/>
    <mergeCell ref="A21:C21"/>
    <mergeCell ref="A1:H1"/>
  </mergeCells>
  <conditionalFormatting sqref="G5:G20">
    <cfRule type="expression" priority="1" dxfId="0">
      <formula>$G5="Done"</formula>
    </cfRule>
    <cfRule type="expression" priority="2" dxfId="1">
      <formula>$G5="In progress"</formula>
    </cfRule>
    <cfRule type="expression" priority="3" dxfId="2">
      <formula>$G5="Blocked"</formula>
    </cfRule>
  </conditionalFormatting>
  <dataValidations count="1">
    <dataValidation sqref="G5:G20" showDropDown="0" showInputMessage="0" showErrorMessage="0" allowBlank="0" type="list">
      <formula1>"Not started,In progress,Blocked,Done"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22" customWidth="1" min="4" max="4"/>
  </cols>
  <sheetData>
    <row r="1" ht="34" customHeight="1">
      <c r="A1" s="24" t="inlineStr">
        <is>
          <t>Two-week calendar</t>
        </is>
      </c>
      <c r="B1" s="2" t="n"/>
      <c r="C1" s="2" t="n"/>
      <c r="D1" s="2" t="n"/>
    </row>
    <row r="2" ht="28" customHeight="1">
      <c r="A2" s="3" t="inlineStr">
        <is>
          <t>Every day ends with something that can be shown. Gates are demos, not status meetings.</t>
        </is>
      </c>
    </row>
    <row r="4" ht="30" customHeight="1">
      <c r="A4" s="9" t="inlineStr">
        <is>
          <t>Day</t>
        </is>
      </c>
      <c r="B4" s="9" t="inlineStr">
        <is>
          <t>Focus</t>
        </is>
      </c>
      <c r="C4" s="9" t="inlineStr">
        <is>
          <t>Output</t>
        </is>
      </c>
      <c r="D4" s="9" t="inlineStr">
        <is>
          <t>Gate</t>
        </is>
      </c>
    </row>
    <row r="5" ht="36" customHeight="1">
      <c r="A5" s="33" t="inlineStr">
        <is>
          <t>1</t>
        </is>
      </c>
      <c r="B5" s="34" t="inlineStr">
        <is>
          <t>Contract review; scaffold; map shell</t>
        </is>
      </c>
      <c r="C5" s="34" t="inlineStr">
        <is>
          <t>Schema v1 agreed; Vite app; Leaflet map with site centre</t>
        </is>
      </c>
      <c r="D5" s="35" t="inlineStr">
        <is>
          <t>G0: contract frozen</t>
        </is>
      </c>
    </row>
    <row r="6" ht="36" customHeight="1">
      <c r="A6" s="36" t="inlineStr">
        <is>
          <t>2</t>
        </is>
      </c>
      <c r="B6" s="37" t="inlineStr">
        <is>
          <t>Domain types, Zod, sample file, repository</t>
        </is>
      </c>
      <c r="C6" s="37" t="inlineStr">
        <is>
          <t>Validated snapshot in tests; raw debug view</t>
        </is>
      </c>
      <c r="D6" s="36" t="inlineStr">
        <is>
          <t>—</t>
        </is>
      </c>
    </row>
    <row r="7" ht="36" customHeight="1">
      <c r="A7" s="33" t="inlineStr">
        <is>
          <t>3</t>
        </is>
      </c>
      <c r="B7" s="34" t="inlineStr">
        <is>
          <t>Polling, station markers, truck dots</t>
        </is>
      </c>
      <c r="C7" s="34" t="inlineStr">
        <is>
          <t>Moving dots from the file; last update time</t>
        </is>
      </c>
      <c r="D7" s="35" t="inlineStr">
        <is>
          <t>G1: first dots</t>
        </is>
      </c>
    </row>
    <row r="8" ht="36" customHeight="1">
      <c r="A8" s="36" t="inlineStr">
        <is>
          <t>4</t>
        </is>
      </c>
      <c r="B8" s="37" t="inlineStr">
        <is>
          <t>Selection, details, status colours</t>
        </is>
      </c>
      <c r="C8" s="37" t="inlineStr">
        <is>
          <t>Click a dot or list row; card and accuracy circle</t>
        </is>
      </c>
      <c r="D8" s="36" t="inlineStr">
        <is>
          <t>—</t>
        </is>
      </c>
    </row>
    <row r="9" ht="36" customHeight="1">
      <c r="A9" s="33" t="inlineStr">
        <is>
          <t>5</t>
        </is>
      </c>
      <c r="B9" s="34" t="inlineStr">
        <is>
          <t>Error, empty, stale states; review</t>
        </is>
      </c>
      <c r="C9" s="34" t="inlineStr">
        <is>
          <t>Demo 1; issue list; scope check</t>
        </is>
      </c>
      <c r="D9" s="35" t="inlineStr">
        <is>
          <t>G2: usable screen</t>
        </is>
      </c>
    </row>
    <row r="10" ht="36" customHeight="1">
      <c r="A10" s="36" t="inlineStr">
        <is>
          <t>6</t>
        </is>
      </c>
      <c r="B10" s="37" t="inlineStr">
        <is>
          <t>Responsive layout, accessibility, diagnostics</t>
        </is>
      </c>
      <c r="C10" s="37" t="inlineStr">
        <is>
          <t>Mobile/desktop; keyboard list; data health</t>
        </is>
      </c>
      <c r="D10" s="36" t="inlineStr">
        <is>
          <t>—</t>
        </is>
      </c>
    </row>
    <row r="11" ht="36" customHeight="1">
      <c r="A11" s="33" t="inlineStr">
        <is>
          <t>7</t>
        </is>
      </c>
      <c r="B11" s="34" t="inlineStr">
        <is>
          <t>Unit, component, integration tests</t>
        </is>
      </c>
      <c r="C11" s="34" t="inlineStr">
        <is>
          <t>Test suite green; failure cases covered</t>
        </is>
      </c>
      <c r="D11" s="33" t="inlineStr">
        <is>
          <t>—</t>
        </is>
      </c>
    </row>
    <row r="12" ht="36" customHeight="1">
      <c r="A12" s="36" t="inlineStr">
        <is>
          <t>8</t>
        </is>
      </c>
      <c r="B12" s="37" t="inlineStr">
        <is>
          <t>Build, Nginx, README, runbook</t>
        </is>
      </c>
      <c r="C12" s="37" t="inlineStr">
        <is>
          <t>Release candidate deployed at a real URL</t>
        </is>
      </c>
      <c r="D12" s="35" t="inlineStr">
        <is>
          <t>G3: RC</t>
        </is>
      </c>
    </row>
    <row r="13" ht="36" customHeight="1">
      <c r="A13" s="33" t="inlineStr">
        <is>
          <t>9</t>
        </is>
      </c>
      <c r="B13" s="34" t="inlineStr">
        <is>
          <t>Bugfix, performance, demo data, rehearsal</t>
        </is>
      </c>
      <c r="C13" s="34" t="inlineStr">
        <is>
          <t>Polished demo; 100-truck check</t>
        </is>
      </c>
      <c r="D13" s="33" t="inlineStr">
        <is>
          <t>—</t>
        </is>
      </c>
    </row>
    <row r="14" ht="36" customHeight="1">
      <c r="A14" s="36" t="inlineStr">
        <is>
          <t>10</t>
        </is>
      </c>
      <c r="B14" s="37" t="inlineStr">
        <is>
          <t>Customer demo, handover, tag</t>
        </is>
      </c>
      <c r="C14" s="37" t="inlineStr">
        <is>
          <t>Accepted MVP; v0.1.0; backlog for Phase 1</t>
        </is>
      </c>
      <c r="D14" s="35" t="inlineStr">
        <is>
          <t>G4: done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8" customWidth="1" min="3" max="3"/>
    <col width="20" customWidth="1" min="4" max="4"/>
    <col width="13" customWidth="1" min="5" max="5"/>
    <col width="40" customWidth="1" min="6" max="6"/>
  </cols>
  <sheetData>
    <row r="1" ht="34" customHeight="1">
      <c r="A1" s="24" t="inlineStr">
        <is>
          <t>Acceptance and release checklist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A checked box means demonstrated, not implemented. Record evidence or a link in the last column.</t>
        </is>
      </c>
    </row>
    <row r="4" ht="30" customHeight="1">
      <c r="A4" s="9" t="inlineStr">
        <is>
          <t>ID</t>
        </is>
      </c>
      <c r="B4" s="9" t="inlineStr">
        <is>
          <t>Area</t>
        </is>
      </c>
      <c r="C4" s="9" t="inlineStr">
        <is>
          <t>Criterion</t>
        </is>
      </c>
      <c r="D4" s="9" t="inlineStr">
        <is>
          <t>How verified</t>
        </is>
      </c>
      <c r="E4" s="9" t="inlineStr">
        <is>
          <t>Status</t>
        </is>
      </c>
      <c r="F4" s="9" t="inlineStr">
        <is>
          <t>Evidence / notes</t>
        </is>
      </c>
    </row>
    <row r="5" ht="30" customHeight="1">
      <c r="A5" s="25" t="inlineStr">
        <is>
          <t>AC-01</t>
        </is>
      </c>
      <c r="B5" s="26" t="inlineStr">
        <is>
          <t>Map</t>
        </is>
      </c>
      <c r="C5" s="26" t="inlineStr">
        <is>
          <t>Valid snapshot with 3 stations and 5 trucks renders within 2 s</t>
        </is>
      </c>
      <c r="D5" s="26" t="inlineStr">
        <is>
          <t>Manual + E2E</t>
        </is>
      </c>
      <c r="E5" s="26" t="inlineStr">
        <is>
          <t>Not started</t>
        </is>
      </c>
      <c r="F5" s="26" t="inlineStr"/>
    </row>
    <row r="6" ht="30" customHeight="1">
      <c r="A6" s="29" t="inlineStr">
        <is>
          <t>AC-02</t>
        </is>
      </c>
      <c r="B6" s="30" t="inlineStr">
        <is>
          <t>Freshness</t>
        </is>
      </c>
      <c r="C6" s="30" t="inlineStr">
        <is>
          <t>Replacing the file moves dots without a page reload</t>
        </is>
      </c>
      <c r="D6" s="30" t="inlineStr">
        <is>
          <t>Manual + integration</t>
        </is>
      </c>
      <c r="E6" s="30" t="inlineStr">
        <is>
          <t>Not started</t>
        </is>
      </c>
      <c r="F6" s="30" t="inlineStr"/>
    </row>
    <row r="7" ht="30" customHeight="1">
      <c r="A7" s="25" t="inlineStr">
        <is>
          <t>AC-03</t>
        </is>
      </c>
      <c r="B7" s="26" t="inlineStr">
        <is>
          <t>Selection</t>
        </is>
      </c>
      <c r="C7" s="26" t="inlineStr">
        <is>
          <t>Clicking a dot opens the correct details card</t>
        </is>
      </c>
      <c r="D7" s="26" t="inlineStr">
        <is>
          <t>Component</t>
        </is>
      </c>
      <c r="E7" s="26" t="inlineStr">
        <is>
          <t>Not started</t>
        </is>
      </c>
      <c r="F7" s="26" t="inlineStr"/>
    </row>
    <row r="8" ht="30" customHeight="1">
      <c r="A8" s="29" t="inlineStr">
        <is>
          <t>AC-04</t>
        </is>
      </c>
      <c r="B8" s="30" t="inlineStr">
        <is>
          <t>Resilience</t>
        </is>
      </c>
      <c r="C8" s="30" t="inlineStr">
        <is>
          <t>One invalid record is skipped; the rest render; the count is visible</t>
        </is>
      </c>
      <c r="D8" s="30" t="inlineStr">
        <is>
          <t>Unit + component</t>
        </is>
      </c>
      <c r="E8" s="30" t="inlineStr">
        <is>
          <t>Not started</t>
        </is>
      </c>
      <c r="F8" s="30" t="inlineStr"/>
    </row>
    <row r="9" ht="30" customHeight="1">
      <c r="A9" s="25" t="inlineStr">
        <is>
          <t>AC-05</t>
        </is>
      </c>
      <c r="B9" s="26" t="inlineStr">
        <is>
          <t>Errors</t>
        </is>
      </c>
      <c r="C9" s="26" t="inlineStr">
        <is>
          <t>Missing file shows a fatal error with Retry on first load</t>
        </is>
      </c>
      <c r="D9" s="26" t="inlineStr">
        <is>
          <t>Component</t>
        </is>
      </c>
      <c r="E9" s="26" t="inlineStr">
        <is>
          <t>Not started</t>
        </is>
      </c>
      <c r="F9" s="26" t="inlineStr"/>
    </row>
    <row r="10" ht="30" customHeight="1">
      <c r="A10" s="29" t="inlineStr">
        <is>
          <t>AC-06</t>
        </is>
      </c>
      <c r="B10" s="30" t="inlineStr">
        <is>
          <t>Errors</t>
        </is>
      </c>
      <c r="C10" s="30" t="inlineStr">
        <is>
          <t>Failed refresh keeps last good dots and shows a banner</t>
        </is>
      </c>
      <c r="D10" s="30" t="inlineStr">
        <is>
          <t>Integration</t>
        </is>
      </c>
      <c r="E10" s="30" t="inlineStr">
        <is>
          <t>Not started</t>
        </is>
      </c>
      <c r="F10" s="30" t="inlineStr"/>
    </row>
    <row r="11" ht="30" customHeight="1">
      <c r="A11" s="25" t="inlineStr">
        <is>
          <t>AC-07</t>
        </is>
      </c>
      <c r="B11" s="26" t="inlineStr">
        <is>
          <t>Freshness</t>
        </is>
      </c>
      <c r="C11" s="26" t="inlineStr">
        <is>
          <t>Old generatedAt shows a stale banner even with HTTP 200</t>
        </is>
      </c>
      <c r="D11" s="26" t="inlineStr">
        <is>
          <t>Unit + component</t>
        </is>
      </c>
      <c r="E11" s="26" t="inlineStr">
        <is>
          <t>Not started</t>
        </is>
      </c>
      <c r="F11" s="26" t="inlineStr"/>
    </row>
    <row r="12" ht="30" customHeight="1">
      <c r="A12" s="29" t="inlineStr">
        <is>
          <t>AC-08</t>
        </is>
      </c>
      <c r="B12" s="30" t="inlineStr">
        <is>
          <t>Performance</t>
        </is>
      </c>
      <c r="C12" s="30" t="inlineStr">
        <is>
          <t>100 trucks at 1 Hz remains responsive</t>
        </is>
      </c>
      <c r="D12" s="30" t="inlineStr">
        <is>
          <t>Performance check</t>
        </is>
      </c>
      <c r="E12" s="30" t="inlineStr">
        <is>
          <t>Not started</t>
        </is>
      </c>
      <c r="F12" s="30" t="inlineStr"/>
    </row>
    <row r="13" ht="30" customHeight="1">
      <c r="A13" s="25" t="inlineStr">
        <is>
          <t>AC-09</t>
        </is>
      </c>
      <c r="B13" s="26" t="inlineStr">
        <is>
          <t>Offline</t>
        </is>
      </c>
      <c r="C13" s="26" t="inlineStr">
        <is>
          <t>Tiles blocked: dots, stations, legend, details still work</t>
        </is>
      </c>
      <c r="D13" s="26" t="inlineStr">
        <is>
          <t>Manual</t>
        </is>
      </c>
      <c r="E13" s="26" t="inlineStr">
        <is>
          <t>Not started</t>
        </is>
      </c>
      <c r="F13" s="26" t="inlineStr"/>
    </row>
    <row r="14" ht="30" customHeight="1">
      <c r="A14" s="29" t="inlineStr">
        <is>
          <t>AC-10</t>
        </is>
      </c>
      <c r="B14" s="30" t="inlineStr">
        <is>
          <t>Accessibility</t>
        </is>
      </c>
      <c r="C14" s="30" t="inlineStr">
        <is>
          <t>Keyboard-only selection works through the truck list</t>
        </is>
      </c>
      <c r="D14" s="30" t="inlineStr">
        <is>
          <t>Manual + a11y</t>
        </is>
      </c>
      <c r="E14" s="30" t="inlineStr">
        <is>
          <t>Not started</t>
        </is>
      </c>
      <c r="F14" s="30" t="inlineStr"/>
    </row>
    <row r="15" ht="30" customHeight="1">
      <c r="A15" s="25" t="inlineStr">
        <is>
          <t>CHK-01</t>
        </is>
      </c>
      <c r="B15" s="26" t="inlineStr">
        <is>
          <t>Build</t>
        </is>
      </c>
      <c r="C15" s="26" t="inlineStr">
        <is>
          <t>Lint, typecheck, test, and production build are green</t>
        </is>
      </c>
      <c r="D15" s="26" t="inlineStr">
        <is>
          <t>CI</t>
        </is>
      </c>
      <c r="E15" s="26" t="inlineStr">
        <is>
          <t>Not started</t>
        </is>
      </c>
      <c r="F15" s="26" t="inlineStr"/>
    </row>
    <row r="16" ht="30" customHeight="1">
      <c r="A16" s="29" t="inlineStr">
        <is>
          <t>CHK-02</t>
        </is>
      </c>
      <c r="B16" s="30" t="inlineStr">
        <is>
          <t>Deploy</t>
        </is>
      </c>
      <c r="C16" s="30" t="inlineStr">
        <is>
          <t>Base-path deployment loads assets and data</t>
        </is>
      </c>
      <c r="D16" s="30" t="inlineStr">
        <is>
          <t>Manual</t>
        </is>
      </c>
      <c r="E16" s="30" t="inlineStr">
        <is>
          <t>Not started</t>
        </is>
      </c>
      <c r="F16" s="30" t="inlineStr"/>
    </row>
    <row r="17" ht="30" customHeight="1">
      <c r="A17" s="25" t="inlineStr">
        <is>
          <t>CHK-03</t>
        </is>
      </c>
      <c r="B17" s="26" t="inlineStr">
        <is>
          <t>Cache</t>
        </is>
      </c>
      <c r="C17" s="26" t="inlineStr">
        <is>
          <t>Cache-Control: no-store is present on the snapshot response</t>
        </is>
      </c>
      <c r="D17" s="26" t="inlineStr">
        <is>
          <t>DevTools</t>
        </is>
      </c>
      <c r="E17" s="26" t="inlineStr">
        <is>
          <t>Not started</t>
        </is>
      </c>
      <c r="F17" s="26" t="inlineStr"/>
    </row>
    <row r="18" ht="30" customHeight="1">
      <c r="A18" s="29" t="inlineStr">
        <is>
          <t>CHK-04</t>
        </is>
      </c>
      <c r="B18" s="30" t="inlineStr">
        <is>
          <t>Docs</t>
        </is>
      </c>
      <c r="C18" s="30" t="inlineStr">
        <is>
          <t>README covers run, build, deploy, and data replacement</t>
        </is>
      </c>
      <c r="D18" s="30" t="inlineStr">
        <is>
          <t>Review</t>
        </is>
      </c>
      <c r="E18" s="30" t="inlineStr">
        <is>
          <t>Not started</t>
        </is>
      </c>
      <c r="F18" s="30" t="inlineStr"/>
    </row>
    <row r="19" ht="30" customHeight="1">
      <c r="A19" s="25" t="inlineStr">
        <is>
          <t>CHK-05</t>
        </is>
      </c>
      <c r="B19" s="26" t="inlineStr">
        <is>
          <t>Security</t>
        </is>
      </c>
      <c r="C19" s="26" t="inlineStr">
        <is>
          <t>No secrets in the bundle; app is behind the agreed perimeter</t>
        </is>
      </c>
      <c r="D19" s="26" t="inlineStr">
        <is>
          <t>Review</t>
        </is>
      </c>
      <c r="E19" s="26" t="inlineStr">
        <is>
          <t>Not started</t>
        </is>
      </c>
      <c r="F19" s="26" t="inlineStr"/>
    </row>
    <row r="20" ht="30" customHeight="1">
      <c r="A20" s="29" t="inlineStr">
        <is>
          <t>CHK-06</t>
        </is>
      </c>
      <c r="B20" s="30" t="inlineStr">
        <is>
          <t>Demo</t>
        </is>
      </c>
      <c r="C20" s="30" t="inlineStr">
        <is>
          <t>Demo script rehearsed twice, including the failure drill</t>
        </is>
      </c>
      <c r="D20" s="30" t="inlineStr">
        <is>
          <t>Rehearsal</t>
        </is>
      </c>
      <c r="E20" s="30" t="inlineStr">
        <is>
          <t>Not started</t>
        </is>
      </c>
      <c r="F20" s="30" t="inlineStr"/>
    </row>
    <row r="21" ht="30" customHeight="1">
      <c r="A21" s="25" t="inlineStr">
        <is>
          <t>CHK-07</t>
        </is>
      </c>
      <c r="B21" s="26" t="inlineStr">
        <is>
          <t>Release</t>
        </is>
      </c>
      <c r="C21" s="26" t="inlineStr">
        <is>
          <t>Release tagged v0.1.0 with a visible build stamp</t>
        </is>
      </c>
      <c r="D21" s="26" t="inlineStr">
        <is>
          <t>Release</t>
        </is>
      </c>
      <c r="E21" s="26" t="inlineStr">
        <is>
          <t>Not started</t>
        </is>
      </c>
      <c r="F21" s="26" t="inlineStr"/>
    </row>
    <row r="22" ht="30" customHeight="1">
      <c r="A22" s="29" t="inlineStr">
        <is>
          <t>CHK-08</t>
        </is>
      </c>
      <c r="B22" s="30" t="inlineStr">
        <is>
          <t>Contract</t>
        </is>
      </c>
      <c r="C22" s="30" t="inlineStr">
        <is>
          <t>Example snapshot matches the v1 schema</t>
        </is>
      </c>
      <c r="D22" s="30" t="inlineStr">
        <is>
          <t>Review</t>
        </is>
      </c>
      <c r="E22" s="30" t="inlineStr">
        <is>
          <t>Not started</t>
        </is>
      </c>
      <c r="F22" s="30" t="inlineStr"/>
    </row>
    <row r="23" ht="30" customHeight="1">
      <c r="A23" s="25" t="inlineStr">
        <is>
          <t>CHK-09</t>
        </is>
      </c>
      <c r="B23" s="26" t="inlineStr">
        <is>
          <t>Ops</t>
        </is>
      </c>
      <c r="C23" s="26" t="inlineStr">
        <is>
          <t>Previous good snapshot and rollback path documented</t>
        </is>
      </c>
      <c r="D23" s="26" t="inlineStr">
        <is>
          <t>Review</t>
        </is>
      </c>
      <c r="E23" s="26" t="inlineStr">
        <is>
          <t>Not started</t>
        </is>
      </c>
      <c r="F23" s="26" t="inlineStr"/>
    </row>
    <row r="24" ht="30" customHeight="1">
      <c r="A24" s="29" t="inlineStr">
        <is>
          <t>CHK-10</t>
        </is>
      </c>
      <c r="B24" s="30" t="inlineStr">
        <is>
          <t>Sign-off</t>
        </is>
      </c>
      <c r="C24" s="30" t="inlineStr">
        <is>
          <t>Customer accepts the MVP scope and demo</t>
        </is>
      </c>
      <c r="D24" s="30" t="inlineStr">
        <is>
          <t>Review</t>
        </is>
      </c>
      <c r="E24" s="30" t="inlineStr">
        <is>
          <t>Not started</t>
        </is>
      </c>
      <c r="F24" s="30" t="inlineStr"/>
    </row>
  </sheetData>
  <autoFilter ref="A4:F24"/>
  <mergeCells count="2">
    <mergeCell ref="A2:F2"/>
    <mergeCell ref="A1:F1"/>
  </mergeCells>
  <conditionalFormatting sqref="E5:E24">
    <cfRule type="expression" priority="1" dxfId="0">
      <formula>$E5="Done"</formula>
    </cfRule>
    <cfRule type="expression" priority="2" dxfId="1">
      <formula>$E5="In progress"</formula>
    </cfRule>
    <cfRule type="expression" priority="3" dxfId="2">
      <formula>$E5="Blocked"</formula>
    </cfRule>
  </conditionalFormatting>
  <dataValidations count="1">
    <dataValidation sqref="E5:E24" showDropDown="0" showInputMessage="0" showErrorMessage="0" allowBlank="0" type="list">
      <formula1>"Not started,In progress,Blocked,Done"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E123C"/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8" customWidth="1" min="4" max="4"/>
    <col width="50" customWidth="1" min="5" max="5"/>
    <col width="30" customWidth="1" min="6" max="6"/>
    <col width="18" customWidth="1" min="7" max="7"/>
    <col width="12" customWidth="1" min="8" max="8"/>
  </cols>
  <sheetData>
    <row r="1" ht="34" customHeight="1">
      <c r="A1" s="24" t="inlineStr">
        <is>
          <t>Risk register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 = probability, I = impact, Score = 1–9. Review at every gate; every risk needs an owner.</t>
        </is>
      </c>
    </row>
    <row r="4" ht="30" customHeight="1">
      <c r="A4" s="9" t="inlineStr">
        <is>
          <t>Risk</t>
        </is>
      </c>
      <c r="B4" s="9" t="inlineStr">
        <is>
          <t>P</t>
        </is>
      </c>
      <c r="C4" s="9" t="inlineStr">
        <is>
          <t>I</t>
        </is>
      </c>
      <c r="D4" s="9" t="inlineStr">
        <is>
          <t>Score</t>
        </is>
      </c>
      <c r="E4" s="9" t="inlineStr">
        <is>
          <t>Mitigation</t>
        </is>
      </c>
      <c r="F4" s="9" t="inlineStr">
        <is>
          <t>Trigger</t>
        </is>
      </c>
      <c r="G4" s="9" t="inlineStr">
        <is>
          <t>Owner</t>
        </is>
      </c>
      <c r="H4" s="9" t="inlineStr">
        <is>
          <t>Status</t>
        </is>
      </c>
    </row>
    <row r="5" ht="40" customHeight="1">
      <c r="A5" s="25" t="inlineStr">
        <is>
          <t>Coordinate system mismatch (local metres vs WGS84)</t>
        </is>
      </c>
      <c r="B5" s="26" t="inlineStr">
        <is>
          <t>H</t>
        </is>
      </c>
      <c r="C5" s="26" t="inlineStr">
        <is>
          <t>H</t>
        </is>
      </c>
      <c r="D5" s="38">
        <f>IF(B5="H",3,IF(B5="M",2,1))*IF(C5="H",3,IF(C5="M",2,1))</f>
        <v/>
      </c>
      <c r="E5" s="26" t="inlineStr">
        <is>
          <t>Freeze CRS; convert in producer; validate ranges; one known-point check</t>
        </is>
      </c>
      <c r="F5" s="26" t="inlineStr">
        <is>
          <t>Dots offset by a constant distance</t>
        </is>
      </c>
      <c r="G5" s="26" t="inlineStr">
        <is>
          <t>Frontend + domain</t>
        </is>
      </c>
      <c r="H5" s="26" t="inlineStr">
        <is>
          <t>Open</t>
        </is>
      </c>
    </row>
    <row r="6" ht="40" customHeight="1">
      <c r="A6" s="29" t="inlineStr">
        <is>
          <t>Stale file served as live</t>
        </is>
      </c>
      <c r="B6" s="30" t="inlineStr">
        <is>
          <t>H</t>
        </is>
      </c>
      <c r="C6" s="30" t="inlineStr">
        <is>
          <t>H</t>
        </is>
      </c>
      <c r="D6" s="39">
        <f>IF(B6="H",3,IF(B6="M",2,1))*IF(C6="H",3,IF(C6="M",2,1))</f>
        <v/>
      </c>
      <c r="E6" s="30" t="inlineStr">
        <is>
          <t>Check generatedAt, not HTTP status; stale banner; external age check</t>
        </is>
      </c>
      <c r="F6" s="30" t="inlineStr">
        <is>
          <t>HTTP 200 but positions frozen</t>
        </is>
      </c>
      <c r="G6" s="30" t="inlineStr">
        <is>
          <t>Frontend</t>
        </is>
      </c>
      <c r="H6" s="30" t="inlineStr">
        <is>
          <t>Open</t>
        </is>
      </c>
    </row>
    <row r="7" ht="40" customHeight="1">
      <c r="A7" s="25" t="inlineStr">
        <is>
          <t>Scope creep into RSSI/Magma/DB</t>
        </is>
      </c>
      <c r="B7" s="26" t="inlineStr">
        <is>
          <t>H</t>
        </is>
      </c>
      <c r="C7" s="26" t="inlineStr">
        <is>
          <t>H</t>
        </is>
      </c>
      <c r="D7" s="38">
        <f>IF(B7="H",3,IF(B7="M",2,1))*IF(C7="H",3,IF(C7="M",2,1))</f>
        <v/>
      </c>
      <c r="E7" s="26" t="inlineStr">
        <is>
          <t>Out-of-scope list; change rule; Phase 1/2 backlog</t>
        </is>
      </c>
      <c r="F7" s="26" t="inlineStr">
        <is>
          <t>New must-have in standup</t>
        </is>
      </c>
      <c r="G7" s="26" t="inlineStr">
        <is>
          <t>Product</t>
        </is>
      </c>
      <c r="H7" s="26" t="inlineStr">
        <is>
          <t>Open</t>
        </is>
      </c>
    </row>
    <row r="8" ht="40" customHeight="1">
      <c r="A8" s="29" t="inlineStr">
        <is>
          <t>Map tiles blocked in a closed network</t>
        </is>
      </c>
      <c r="B8" s="30" t="inlineStr">
        <is>
          <t>H</t>
        </is>
      </c>
      <c r="C8" s="30" t="inlineStr">
        <is>
          <t>M</t>
        </is>
      </c>
      <c r="D8" s="39">
        <f>IF(B8="H",3,IF(B8="M",2,1))*IF(C8="H",3,IF(C8="M",2,1))</f>
        <v/>
      </c>
      <c r="E8" s="30" t="inlineStr">
        <is>
          <t>Site-plan overlay or local tiles; blank map still works</t>
        </is>
      </c>
      <c r="F8" s="30" t="inlineStr">
        <is>
          <t>Grey tiles in the demo</t>
        </is>
      </c>
      <c r="G8" s="30" t="inlineStr">
        <is>
          <t>IT + frontend</t>
        </is>
      </c>
      <c r="H8" s="30" t="inlineStr">
        <is>
          <t>Open</t>
        </is>
      </c>
    </row>
    <row r="9" ht="40" customHeight="1">
      <c r="A9" s="25" t="inlineStr">
        <is>
          <t>Yandex Maps required late</t>
        </is>
      </c>
      <c r="B9" s="26" t="inlineStr">
        <is>
          <t>M</t>
        </is>
      </c>
      <c r="C9" s="26" t="inlineStr">
        <is>
          <t>H</t>
        </is>
      </c>
      <c r="D9" s="38">
        <f>IF(B9="H",3,IF(B9="M",2,1))*IF(C9="H",3,IF(C9="M",2,1))</f>
        <v/>
      </c>
      <c r="E9" s="26" t="inlineStr">
        <is>
          <t>Isolate Leaflet behind FleetMap; clarify provider on day 1</t>
        </is>
      </c>
      <c r="F9" s="26" t="inlineStr">
        <is>
          <t>API key mentioned after build</t>
        </is>
      </c>
      <c r="G9" s="26" t="inlineStr">
        <is>
          <t>Product</t>
        </is>
      </c>
      <c r="H9" s="26" t="inlineStr">
        <is>
          <t>Open</t>
        </is>
      </c>
    </row>
    <row r="10" ht="40" customHeight="1">
      <c r="A10" s="29" t="inlineStr">
        <is>
          <t>Non-atomic file write</t>
        </is>
      </c>
      <c r="B10" s="30" t="inlineStr">
        <is>
          <t>M</t>
        </is>
      </c>
      <c r="C10" s="30" t="inlineStr">
        <is>
          <t>H</t>
        </is>
      </c>
      <c r="D10" s="39">
        <f>IF(B10="H",3,IF(B10="M",2,1))*IF(C10="H",3,IF(C10="M",2,1))</f>
        <v/>
      </c>
      <c r="E10" s="30" t="inlineStr">
        <is>
          <t>Temp file + rename; previous snapshot; parse error banner</t>
        </is>
      </c>
      <c r="F10" s="30" t="inlineStr">
        <is>
          <t>Intermittent JSON parse errors</t>
        </is>
      </c>
      <c r="G10" s="30" t="inlineStr">
        <is>
          <t>Integrator</t>
        </is>
      </c>
      <c r="H10" s="30" t="inlineStr">
        <is>
          <t>Open</t>
        </is>
      </c>
    </row>
    <row r="11" ht="40" customHeight="1">
      <c r="A11" s="25" t="inlineStr">
        <is>
          <t>Schema drift between producer and UI</t>
        </is>
      </c>
      <c r="B11" s="26" t="inlineStr">
        <is>
          <t>M</t>
        </is>
      </c>
      <c r="C11" s="26" t="inlineStr">
        <is>
          <t>M</t>
        </is>
      </c>
      <c r="D11" s="38">
        <f>IF(B11="H",3,IF(B11="M",2,1))*IF(C11="H",3,IF(C11="M",2,1))</f>
        <v/>
      </c>
      <c r="E11" s="26" t="inlineStr">
        <is>
          <t>Version field; Zod; contract review; example file in repo</t>
        </is>
      </c>
      <c r="F11" s="26" t="inlineStr">
        <is>
          <t>Unknown/missing fields</t>
        </is>
      </c>
      <c r="G11" s="26" t="inlineStr">
        <is>
          <t>Frontend + domain</t>
        </is>
      </c>
      <c r="H11" s="26" t="inlineStr">
        <is>
          <t>Open</t>
        </is>
      </c>
    </row>
    <row r="12" ht="40" customHeight="1">
      <c r="A12" s="29" t="inlineStr">
        <is>
          <t>Performance at 1,000+ trucks</t>
        </is>
      </c>
      <c r="B12" s="30" t="inlineStr">
        <is>
          <t>M</t>
        </is>
      </c>
      <c r="C12" s="30" t="inlineStr">
        <is>
          <t>M</t>
        </is>
      </c>
      <c r="D12" s="39">
        <f>IF(B12="H",3,IF(B12="M",2,1))*IF(C12="H",3,IF(C12="M",2,1))</f>
        <v/>
      </c>
      <c r="E12" s="30" t="inlineStr">
        <is>
          <t>Canvas markers, API/WS, clustering; budget at 100 trucks</t>
        </is>
      </c>
      <c r="F12" s="30" t="inlineStr">
        <is>
          <t>Frame drops / long tasks</t>
        </is>
      </c>
      <c r="G12" s="30" t="inlineStr">
        <is>
          <t>Frontend</t>
        </is>
      </c>
      <c r="H12" s="30" t="inlineStr">
        <is>
          <t>Open</t>
        </is>
      </c>
    </row>
    <row r="13" ht="40" customHeight="1">
      <c r="A13" s="25" t="inlineStr">
        <is>
          <t>Positions exposed on an open URL</t>
        </is>
      </c>
      <c r="B13" s="26" t="inlineStr">
        <is>
          <t>M</t>
        </is>
      </c>
      <c r="C13" s="26" t="inlineStr">
        <is>
          <t>H</t>
        </is>
      </c>
      <c r="D13" s="38">
        <f>IF(B13="H",3,IF(B13="M",2,1))*IF(C13="H",3,IF(C13="M",2,1))</f>
        <v/>
      </c>
      <c r="E13" s="26" t="inlineStr">
        <is>
          <t>Perimeter auth; no secrets; HTTPS; privacy review</t>
        </is>
      </c>
      <c r="F13" s="26" t="inlineStr">
        <is>
          <t>App reachable from guest network</t>
        </is>
      </c>
      <c r="G13" s="26" t="inlineStr">
        <is>
          <t>Security</t>
        </is>
      </c>
      <c r="H13" s="26" t="inlineStr">
        <is>
          <t>Open</t>
        </is>
      </c>
    </row>
    <row r="14" ht="40" customHeight="1">
      <c r="A14" s="29" t="inlineStr">
        <is>
          <t>Magma integration surprises</t>
        </is>
      </c>
      <c r="B14" s="30" t="inlineStr">
        <is>
          <t>H</t>
        </is>
      </c>
      <c r="C14" s="30" t="inlineStr">
        <is>
          <t>M</t>
        </is>
      </c>
      <c r="D14" s="39">
        <f>IF(B14="H",3,IF(B14="M",2,1))*IF(C14="H",3,IF(C14="M",2,1))</f>
        <v/>
      </c>
      <c r="E14" s="30" t="inlineStr">
        <is>
          <t>Server-side adapter; Open5GS fallback; spike in Phase 2</t>
        </is>
      </c>
      <c r="F14" s="30" t="inlineStr">
        <is>
          <t>Events missing or API unstable</t>
        </is>
      </c>
      <c r="G14" s="30" t="inlineStr">
        <is>
          <t>Backend</t>
        </is>
      </c>
      <c r="H14" s="30" t="inlineStr">
        <is>
          <t>Open</t>
        </is>
      </c>
    </row>
    <row r="15" ht="40" customHeight="1">
      <c r="A15" s="25" t="inlineStr">
        <is>
          <t>Clock skew / timezone errors</t>
        </is>
      </c>
      <c r="B15" s="26" t="inlineStr">
        <is>
          <t>M</t>
        </is>
      </c>
      <c r="C15" s="26" t="inlineStr">
        <is>
          <t>M</t>
        </is>
      </c>
      <c r="D15" s="38">
        <f>IF(B15="H",3,IF(B15="M",2,1))*IF(C15="H",3,IF(C15="M",2,1))</f>
        <v/>
      </c>
      <c r="E15" s="26" t="inlineStr">
        <is>
          <t>UTC ISO strings; NTP; future-timestamp warning</t>
        </is>
      </c>
      <c r="F15" s="26" t="inlineStr">
        <is>
          <t>“-3 s ago” or “in 2 hours”</t>
        </is>
      </c>
      <c r="G15" s="26" t="inlineStr">
        <is>
          <t>Frontend + ops</t>
        </is>
      </c>
      <c r="H15" s="26" t="inlineStr">
        <is>
          <t>Open</t>
        </is>
      </c>
    </row>
    <row r="16" ht="40" customHeight="1">
      <c r="A16" s="29" t="inlineStr">
        <is>
          <t>First-timer overengineering</t>
        </is>
      </c>
      <c r="B16" s="30" t="inlineStr">
        <is>
          <t>M</t>
        </is>
      </c>
      <c r="C16" s="30" t="inlineStr">
        <is>
          <t>M</t>
        </is>
      </c>
      <c r="D16" s="39">
        <f>IF(B16="H",3,IF(B16="M",2,1))*IF(C16="H",3,IF(C16="M",2,1))</f>
        <v/>
      </c>
      <c r="E16" s="30" t="inlineStr">
        <is>
          <t>One port, no Redux, no generic data source; review checklist</t>
        </is>
      </c>
      <c r="F16" s="30" t="inlineStr">
        <is>
          <t>More abstraction than features</t>
        </is>
      </c>
      <c r="G16" s="30" t="inlineStr">
        <is>
          <t>Tech lead</t>
        </is>
      </c>
      <c r="H16" s="30" t="inlineStr">
        <is>
          <t>Open</t>
        </is>
      </c>
    </row>
  </sheetData>
  <autoFilter ref="A4:H16"/>
  <mergeCells count="2">
    <mergeCell ref="A2:H2"/>
    <mergeCell ref="A1:H1"/>
  </mergeCells>
  <conditionalFormatting sqref="D5:D16">
    <cfRule type="cellIs" priority="1" operator="greaterThanOrEqual" dxfId="3">
      <formula>9</formula>
    </cfRule>
    <cfRule type="cellIs" priority="2" operator="between" dxfId="4">
      <formula>6</formula>
      <formula>8</formula>
    </cfRule>
    <cfRule type="cellIs" priority="3" operator="lessThanOrEqual" dxfId="5">
      <formula>4</formula>
    </cfRule>
  </conditionalFormatting>
  <dataValidations count="1">
    <dataValidation sqref="B5:C16" showDropDown="0" showInputMessage="0" showErrorMessage="0" allowBlank="0" type="list">
      <formula1>"L,M,H"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3" customWidth="1" min="4" max="4"/>
    <col width="58" customWidth="1" min="5" max="5"/>
  </cols>
  <sheetData>
    <row r="1" ht="34" customHeight="1">
      <c r="A1" s="24" t="inlineStr">
        <is>
          <t>Architecture decision records</t>
        </is>
      </c>
      <c r="B1" s="2" t="n"/>
      <c r="C1" s="2" t="n"/>
      <c r="D1" s="2" t="n"/>
      <c r="E1" s="2" t="n"/>
    </row>
    <row r="2" ht="28" customHeight="1">
      <c r="A2" s="3" t="inlineStr">
        <is>
          <t>Short, dated decisions. Update the log when a decision changes; do not leave it to memory.</t>
        </is>
      </c>
    </row>
    <row r="4" ht="30" customHeight="1">
      <c r="A4" s="9" t="inlineStr">
        <is>
          <t>ADR</t>
        </is>
      </c>
      <c r="B4" s="9" t="inlineStr">
        <is>
          <t>Decision</t>
        </is>
      </c>
      <c r="C4" s="9" t="inlineStr">
        <is>
          <t>Status</t>
        </is>
      </c>
      <c r="D4" s="9" t="inlineStr">
        <is>
          <t>Date</t>
        </is>
      </c>
      <c r="E4" s="9" t="inlineStr">
        <is>
          <t>Consequence</t>
        </is>
      </c>
    </row>
    <row r="5" ht="34" customHeight="1">
      <c r="A5" s="25" t="inlineStr">
        <is>
          <t>ADR-001</t>
        </is>
      </c>
      <c r="B5" s="26" t="inlineStr">
        <is>
          <t>File-backed static SPA for MVP 0.1</t>
        </is>
      </c>
      <c r="C5" s="26" t="inlineStr">
        <is>
          <t>Accepted</t>
        </is>
      </c>
      <c r="D5" s="26" t="inlineStr">
        <is>
          <t>2026-10-28</t>
        </is>
      </c>
      <c r="E5" s="26" t="inlineStr">
        <is>
          <t>No backend; fastest demo; file is a temporary transport</t>
        </is>
      </c>
    </row>
    <row r="6" ht="34" customHeight="1">
      <c r="A6" s="29" t="inlineStr">
        <is>
          <t>ADR-002</t>
        </is>
      </c>
      <c r="B6" s="30" t="inlineStr">
        <is>
          <t>FleetRepository port with a file adapter</t>
        </is>
      </c>
      <c r="C6" s="30" t="inlineStr">
        <is>
          <t>Accepted</t>
        </is>
      </c>
      <c r="D6" s="30" t="inlineStr">
        <is>
          <t>2026-10-28</t>
        </is>
      </c>
      <c r="E6" s="30" t="inlineStr">
        <is>
          <t>Source can change without touching the UI</t>
        </is>
      </c>
    </row>
    <row r="7" ht="34" customHeight="1">
      <c r="A7" s="25" t="inlineStr">
        <is>
          <t>ADR-003</t>
        </is>
      </c>
      <c r="B7" s="26" t="inlineStr">
        <is>
          <t>Leaflet + OpenStreetMap for the map</t>
        </is>
      </c>
      <c r="C7" s="26" t="inlineStr">
        <is>
          <t>Accepted</t>
        </is>
      </c>
      <c r="D7" s="26" t="inlineStr">
        <is>
          <t>2026-10-28</t>
        </is>
      </c>
      <c r="E7" s="26" t="inlineStr">
        <is>
          <t>No API key; open licence; easy markers and circles</t>
        </is>
      </c>
    </row>
    <row r="8" ht="34" customHeight="1">
      <c r="A8" s="29" t="inlineStr">
        <is>
          <t>ADR-004</t>
        </is>
      </c>
      <c r="B8" s="30" t="inlineStr">
        <is>
          <t>WGS84 lat/lon is the canonical UI contract</t>
        </is>
      </c>
      <c r="C8" s="30" t="inlineStr">
        <is>
          <t>Accepted</t>
        </is>
      </c>
      <c r="D8" s="30" t="inlineStr">
        <is>
          <t>2026-10-28</t>
        </is>
      </c>
      <c r="E8" s="30" t="inlineStr">
        <is>
          <t>No geodesy in components; local metres converted upstream</t>
        </is>
      </c>
    </row>
    <row r="9" ht="34" customHeight="1">
      <c r="A9" s="25" t="inlineStr">
        <is>
          <t>ADR-005</t>
        </is>
      </c>
      <c r="B9" s="26" t="inlineStr">
        <is>
          <t>JSON Schema v1 + Zod at the boundary</t>
        </is>
      </c>
      <c r="C9" s="26" t="inlineStr">
        <is>
          <t>Accepted</t>
        </is>
      </c>
      <c r="D9" s="26" t="inlineStr">
        <is>
          <t>2026-10-28</t>
        </is>
      </c>
      <c r="E9" s="26" t="inlineStr">
        <is>
          <t>Runtime safety; versioned evolution</t>
        </is>
      </c>
    </row>
    <row r="10" ht="34" customHeight="1">
      <c r="A10" s="29" t="inlineStr">
        <is>
          <t>ADR-006</t>
        </is>
      </c>
      <c r="B10" s="30" t="inlineStr">
        <is>
          <t>1 Hz polling, not WebSocket, in MVP</t>
        </is>
      </c>
      <c r="C10" s="30" t="inlineStr">
        <is>
          <t>Accepted</t>
        </is>
      </c>
      <c r="D10" s="30" t="inlineStr">
        <is>
          <t>2026-10-28</t>
        </is>
      </c>
      <c r="E10" s="30" t="inlineStr">
        <is>
          <t>Simple, debuggable, proxy-friendly; upgrade later</t>
        </is>
      </c>
    </row>
    <row r="11" ht="34" customHeight="1">
      <c r="A11" s="25" t="inlineStr">
        <is>
          <t>ADR-007</t>
        </is>
      </c>
      <c r="B11" s="26" t="inlineStr">
        <is>
          <t>No database or history in MVP</t>
        </is>
      </c>
      <c r="C11" s="26" t="inlineStr">
        <is>
          <t>Accepted</t>
        </is>
      </c>
      <c r="D11" s="26" t="inlineStr">
        <is>
          <t>2026-10-28</t>
        </is>
      </c>
      <c r="E11" s="26" t="inlineStr">
        <is>
          <t>Smaller scope; live dots only</t>
        </is>
      </c>
    </row>
    <row r="12" ht="34" customHeight="1">
      <c r="A12" s="29" t="inlineStr">
        <is>
          <t>ADR-008</t>
        </is>
      </c>
      <c r="B12" s="30" t="inlineStr">
        <is>
          <t>Magma only server-side in Phase 2</t>
        </is>
      </c>
      <c r="C12" s="30" t="inlineStr">
        <is>
          <t>Accepted</t>
        </is>
      </c>
      <c r="D12" s="30" t="inlineStr">
        <is>
          <t>2026-10-28</t>
        </is>
      </c>
      <c r="E12" s="30" t="inlineStr">
        <is>
          <t>No credentials or core APIs in the browser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0" customWidth="1" min="4" max="4"/>
    <col width="70" customWidth="1" min="5" max="5"/>
  </cols>
  <sheetData>
    <row r="1" ht="34" customHeight="1">
      <c r="A1" s="24" t="inlineStr">
        <is>
          <t>Snapshot contract v1.0 — field reference</t>
        </is>
      </c>
      <c r="B1" s="2" t="n"/>
      <c r="C1" s="2" t="n"/>
      <c r="D1" s="2" t="n"/>
      <c r="E1" s="2" t="n"/>
    </row>
    <row r="2" ht="28" customHeight="1">
      <c r="A2" s="3" t="inlineStr">
        <is>
          <t>The complete contract is docs/data-contract.md. This sheet is a quick field lookup for the producer.</t>
        </is>
      </c>
    </row>
    <row r="4" ht="30" customHeight="1">
      <c r="A4" s="9" t="inlineStr">
        <is>
          <t>Section</t>
        </is>
      </c>
      <c r="B4" s="9" t="inlineStr">
        <is>
          <t>Field</t>
        </is>
      </c>
      <c r="C4" s="9" t="inlineStr">
        <is>
          <t>Type</t>
        </is>
      </c>
      <c r="D4" s="9" t="inlineStr">
        <is>
          <t>Required</t>
        </is>
      </c>
      <c r="E4" s="9" t="inlineStr">
        <is>
          <t>Rules</t>
        </is>
      </c>
    </row>
    <row r="5" ht="26" customHeight="1">
      <c r="A5" s="34" t="inlineStr">
        <is>
          <t>Top level</t>
        </is>
      </c>
      <c r="B5" s="33" t="inlineStr">
        <is>
          <t>schemaVersion</t>
        </is>
      </c>
      <c r="C5" s="34" t="inlineStr">
        <is>
          <t>string</t>
        </is>
      </c>
      <c r="D5" s="34" t="inlineStr">
        <is>
          <t>yes</t>
        </is>
      </c>
      <c r="E5" s="34" t="inlineStr">
        <is>
          <t>1.x; major mismatch is fatal</t>
        </is>
      </c>
    </row>
    <row r="6" ht="26" customHeight="1">
      <c r="A6" s="37" t="inlineStr">
        <is>
          <t>Top level</t>
        </is>
      </c>
      <c r="B6" s="36" t="inlineStr">
        <is>
          <t>generatedAt</t>
        </is>
      </c>
      <c r="C6" s="37" t="inlineStr">
        <is>
          <t>ISO 8601</t>
        </is>
      </c>
      <c r="D6" s="37" t="inlineStr">
        <is>
          <t>yes</t>
        </is>
      </c>
      <c r="E6" s="37" t="inlineStr">
        <is>
          <t>UTC with Z or offset; when the snapshot was made</t>
        </is>
      </c>
    </row>
    <row r="7" ht="26" customHeight="1">
      <c r="A7" s="34" t="inlineStr">
        <is>
          <t>Top level</t>
        </is>
      </c>
      <c r="B7" s="33" t="inlineStr">
        <is>
          <t>site</t>
        </is>
      </c>
      <c r="C7" s="34" t="inlineStr">
        <is>
          <t>object</t>
        </is>
      </c>
      <c r="D7" s="34" t="inlineStr">
        <is>
          <t>yes</t>
        </is>
      </c>
      <c r="E7" s="34" t="inlineStr">
        <is>
          <t>Site identity and map centre</t>
        </is>
      </c>
    </row>
    <row r="8" ht="26" customHeight="1">
      <c r="A8" s="37" t="inlineStr">
        <is>
          <t>Top level</t>
        </is>
      </c>
      <c r="B8" s="36" t="inlineStr">
        <is>
          <t>baseStations</t>
        </is>
      </c>
      <c r="C8" s="37" t="inlineStr">
        <is>
          <t>array</t>
        </is>
      </c>
      <c r="D8" s="37" t="inlineStr">
        <is>
          <t>yes</t>
        </is>
      </c>
      <c r="E8" s="37" t="inlineStr">
        <is>
          <t>0+ station objects</t>
        </is>
      </c>
    </row>
    <row r="9" ht="26" customHeight="1">
      <c r="A9" s="34" t="inlineStr">
        <is>
          <t>Top level</t>
        </is>
      </c>
      <c r="B9" s="33" t="inlineStr">
        <is>
          <t>trucks</t>
        </is>
      </c>
      <c r="C9" s="34" t="inlineStr">
        <is>
          <t>array</t>
        </is>
      </c>
      <c r="D9" s="34" t="inlineStr">
        <is>
          <t>yes</t>
        </is>
      </c>
      <c r="E9" s="34" t="inlineStr">
        <is>
          <t>0+ truck objects; empty is valid</t>
        </is>
      </c>
    </row>
    <row r="10" ht="26" customHeight="1">
      <c r="A10" s="37" t="inlineStr">
        <is>
          <t>Site</t>
        </is>
      </c>
      <c r="B10" s="36" t="inlineStr">
        <is>
          <t>id</t>
        </is>
      </c>
      <c r="C10" s="37" t="inlineStr">
        <is>
          <t>string</t>
        </is>
      </c>
      <c r="D10" s="37" t="inlineStr">
        <is>
          <t>yes</t>
        </is>
      </c>
      <c r="E10" s="37" t="inlineStr">
        <is>
          <t>Stable site ID</t>
        </is>
      </c>
    </row>
    <row r="11" ht="26" customHeight="1">
      <c r="A11" s="34" t="inlineStr">
        <is>
          <t>Site</t>
        </is>
      </c>
      <c r="B11" s="33" t="inlineStr">
        <is>
          <t>name</t>
        </is>
      </c>
      <c r="C11" s="34" t="inlineStr">
        <is>
          <t>string</t>
        </is>
      </c>
      <c r="D11" s="34" t="inlineStr">
        <is>
          <t>yes</t>
        </is>
      </c>
      <c r="E11" s="34" t="inlineStr">
        <is>
          <t>Header label</t>
        </is>
      </c>
    </row>
    <row r="12" ht="26" customHeight="1">
      <c r="A12" s="37" t="inlineStr">
        <is>
          <t>Site</t>
        </is>
      </c>
      <c r="B12" s="36" t="inlineStr">
        <is>
          <t>center.lat</t>
        </is>
      </c>
      <c r="C12" s="37" t="inlineStr">
        <is>
          <t>number</t>
        </is>
      </c>
      <c r="D12" s="37" t="inlineStr">
        <is>
          <t>yes</t>
        </is>
      </c>
      <c r="E12" s="37" t="inlineStr">
        <is>
          <t>WGS84, -90..90</t>
        </is>
      </c>
    </row>
    <row r="13" ht="26" customHeight="1">
      <c r="A13" s="34" t="inlineStr">
        <is>
          <t>Site</t>
        </is>
      </c>
      <c r="B13" s="33" t="inlineStr">
        <is>
          <t>center.lon</t>
        </is>
      </c>
      <c r="C13" s="34" t="inlineStr">
        <is>
          <t>number</t>
        </is>
      </c>
      <c r="D13" s="34" t="inlineStr">
        <is>
          <t>yes</t>
        </is>
      </c>
      <c r="E13" s="34" t="inlineStr">
        <is>
          <t>WGS84, -180..180</t>
        </is>
      </c>
    </row>
    <row r="14" ht="26" customHeight="1">
      <c r="A14" s="37" t="inlineStr">
        <is>
          <t>Site</t>
        </is>
      </c>
      <c r="B14" s="36" t="inlineStr">
        <is>
          <t>defaultZoom</t>
        </is>
      </c>
      <c r="C14" s="37" t="inlineStr">
        <is>
          <t>integer</t>
        </is>
      </c>
      <c r="D14" s="37" t="inlineStr">
        <is>
          <t>yes</t>
        </is>
      </c>
      <c r="E14" s="37" t="inlineStr">
        <is>
          <t>2..22; 16–18 typical</t>
        </is>
      </c>
    </row>
    <row r="15" ht="26" customHeight="1">
      <c r="A15" s="34" t="inlineStr">
        <is>
          <t>Site</t>
        </is>
      </c>
      <c r="B15" s="33" t="inlineStr">
        <is>
          <t>timeZone</t>
        </is>
      </c>
      <c r="C15" s="34" t="inlineStr">
        <is>
          <t>IANA string</t>
        </is>
      </c>
      <c r="D15" s="34" t="inlineStr">
        <is>
          <t>no</t>
        </is>
      </c>
      <c r="E15" s="34" t="inlineStr">
        <is>
          <t>Default: browser zone</t>
        </is>
      </c>
    </row>
    <row r="16" ht="26" customHeight="1">
      <c r="A16" s="37" t="inlineStr">
        <is>
          <t>Site</t>
        </is>
      </c>
      <c r="B16" s="36" t="inlineStr">
        <is>
          <t>map</t>
        </is>
      </c>
      <c r="C16" s="37" t="inlineStr">
        <is>
          <t>object</t>
        </is>
      </c>
      <c r="D16" s="37" t="inlineStr">
        <is>
          <t>no</t>
        </is>
      </c>
      <c r="E16" s="37" t="inlineStr">
        <is>
          <t>mode osm | image | blank</t>
        </is>
      </c>
    </row>
    <row r="17" ht="26" customHeight="1">
      <c r="A17" s="34" t="inlineStr">
        <is>
          <t>Station</t>
        </is>
      </c>
      <c r="B17" s="33" t="inlineStr">
        <is>
          <t>id</t>
        </is>
      </c>
      <c r="C17" s="34" t="inlineStr">
        <is>
          <t>string</t>
        </is>
      </c>
      <c r="D17" s="34" t="inlineStr">
        <is>
          <t>yes</t>
        </is>
      </c>
      <c r="E17" s="34" t="inlineStr">
        <is>
          <t>Stable, unique</t>
        </is>
      </c>
    </row>
    <row r="18" ht="26" customHeight="1">
      <c r="A18" s="37" t="inlineStr">
        <is>
          <t>Station</t>
        </is>
      </c>
      <c r="B18" s="36" t="inlineStr">
        <is>
          <t>name</t>
        </is>
      </c>
      <c r="C18" s="37" t="inlineStr">
        <is>
          <t>string</t>
        </is>
      </c>
      <c r="D18" s="37" t="inlineStr">
        <is>
          <t>yes</t>
        </is>
      </c>
      <c r="E18" s="37" t="inlineStr">
        <is>
          <t>Map label</t>
        </is>
      </c>
    </row>
    <row r="19" ht="26" customHeight="1">
      <c r="A19" s="34" t="inlineStr">
        <is>
          <t>Station</t>
        </is>
      </c>
      <c r="B19" s="33" t="inlineStr">
        <is>
          <t>lat, lon</t>
        </is>
      </c>
      <c r="C19" s="34" t="inlineStr">
        <is>
          <t>number</t>
        </is>
      </c>
      <c r="D19" s="34" t="inlineStr">
        <is>
          <t>yes</t>
        </is>
      </c>
      <c r="E19" s="34" t="inlineStr">
        <is>
          <t>WGS84</t>
        </is>
      </c>
    </row>
    <row r="20" ht="26" customHeight="1">
      <c r="A20" s="37" t="inlineStr">
        <is>
          <t>Station</t>
        </is>
      </c>
      <c r="B20" s="36" t="inlineStr">
        <is>
          <t>status</t>
        </is>
      </c>
      <c r="C20" s="37" t="inlineStr">
        <is>
          <t>enum</t>
        </is>
      </c>
      <c r="D20" s="37" t="inlineStr">
        <is>
          <t>yes</t>
        </is>
      </c>
      <c r="E20" s="37" t="inlineStr">
        <is>
          <t>online | offline | maintenance</t>
        </is>
      </c>
    </row>
    <row r="21" ht="26" customHeight="1">
      <c r="A21" s="34" t="inlineStr">
        <is>
          <t>Station</t>
        </is>
      </c>
      <c r="B21" s="33" t="inlineStr">
        <is>
          <t>heightM</t>
        </is>
      </c>
      <c r="C21" s="34" t="inlineStr">
        <is>
          <t>number</t>
        </is>
      </c>
      <c r="D21" s="34" t="inlineStr">
        <is>
          <t>no</t>
        </is>
      </c>
      <c r="E21" s="34" t="inlineStr">
        <is>
          <t>Antenna height; not used for 2D</t>
        </is>
      </c>
    </row>
    <row r="22" ht="26" customHeight="1">
      <c r="A22" s="37" t="inlineStr">
        <is>
          <t>Truck</t>
        </is>
      </c>
      <c r="B22" s="36" t="inlineStr">
        <is>
          <t>id</t>
        </is>
      </c>
      <c r="C22" s="37" t="inlineStr">
        <is>
          <t>string</t>
        </is>
      </c>
      <c r="D22" s="37" t="inlineStr">
        <is>
          <t>yes</t>
        </is>
      </c>
      <c r="E22" s="37" t="inlineStr">
        <is>
          <t>Stable, unique; never an array index</t>
        </is>
      </c>
    </row>
    <row r="23" ht="26" customHeight="1">
      <c r="A23" s="34" t="inlineStr">
        <is>
          <t>Truck</t>
        </is>
      </c>
      <c r="B23" s="33" t="inlineStr">
        <is>
          <t>name</t>
        </is>
      </c>
      <c r="C23" s="34" t="inlineStr">
        <is>
          <t>string</t>
        </is>
      </c>
      <c r="D23" s="34" t="inlineStr">
        <is>
          <t>no</t>
        </is>
      </c>
      <c r="E23" s="34" t="inlineStr">
        <is>
          <t>Fallback to id</t>
        </is>
      </c>
    </row>
    <row r="24" ht="26" customHeight="1">
      <c r="A24" s="37" t="inlineStr">
        <is>
          <t>Truck</t>
        </is>
      </c>
      <c r="B24" s="36" t="inlineStr">
        <is>
          <t>lat, lon</t>
        </is>
      </c>
      <c r="C24" s="37" t="inlineStr">
        <is>
          <t>number</t>
        </is>
      </c>
      <c r="D24" s="37" t="inlineStr">
        <is>
          <t>yes</t>
        </is>
      </c>
      <c r="E24" s="37" t="inlineStr">
        <is>
          <t>WGS84</t>
        </is>
      </c>
    </row>
    <row r="25" ht="26" customHeight="1">
      <c r="A25" s="34" t="inlineStr">
        <is>
          <t>Truck</t>
        </is>
      </c>
      <c r="B25" s="33" t="inlineStr">
        <is>
          <t>updatedAt</t>
        </is>
      </c>
      <c r="C25" s="34" t="inlineStr">
        <is>
          <t>ISO 8601</t>
        </is>
      </c>
      <c r="D25" s="34" t="inlineStr">
        <is>
          <t>yes</t>
        </is>
      </c>
      <c r="E25" s="34" t="inlineStr">
        <is>
          <t>When this truck was measured</t>
        </is>
      </c>
    </row>
    <row r="26" ht="26" customHeight="1">
      <c r="A26" s="37" t="inlineStr">
        <is>
          <t>Truck</t>
        </is>
      </c>
      <c r="B26" s="36" t="inlineStr">
        <is>
          <t>status</t>
        </is>
      </c>
      <c r="C26" s="37" t="inlineStr">
        <is>
          <t>enum</t>
        </is>
      </c>
      <c r="D26" s="37" t="inlineStr">
        <is>
          <t>yes</t>
        </is>
      </c>
      <c r="E26" s="37" t="inlineStr">
        <is>
          <t>moving | idle | offline | unknown</t>
        </is>
      </c>
    </row>
    <row r="27" ht="26" customHeight="1">
      <c r="A27" s="34" t="inlineStr">
        <is>
          <t>Truck</t>
        </is>
      </c>
      <c r="B27" s="33" t="inlineStr">
        <is>
          <t>accuracyM</t>
        </is>
      </c>
      <c r="C27" s="34" t="inlineStr">
        <is>
          <t>number</t>
        </is>
      </c>
      <c r="D27" s="34" t="inlineStr">
        <is>
          <t>no</t>
        </is>
      </c>
      <c r="E27" s="34" t="inlineStr">
        <is>
          <t>Radius in metres, &gt;= 0; absent = unknown</t>
        </is>
      </c>
    </row>
    <row r="28" ht="26" customHeight="1">
      <c r="A28" s="37" t="inlineStr">
        <is>
          <t>Truck</t>
        </is>
      </c>
      <c r="B28" s="36" t="inlineStr">
        <is>
          <t>method</t>
        </is>
      </c>
      <c r="C28" s="37" t="inlineStr">
        <is>
          <t>string</t>
        </is>
      </c>
      <c r="D28" s="37" t="inlineStr">
        <is>
          <t>no</t>
        </is>
      </c>
      <c r="E28" s="37" t="inlineStr">
        <is>
          <t>Known values labelled; unknown raw</t>
        </is>
      </c>
    </row>
    <row r="29" ht="26" customHeight="1">
      <c r="A29" s="34" t="inlineStr">
        <is>
          <t>Truck</t>
        </is>
      </c>
      <c r="B29" s="33" t="inlineStr">
        <is>
          <t>speedMps</t>
        </is>
      </c>
      <c r="C29" s="34" t="inlineStr">
        <is>
          <t>number</t>
        </is>
      </c>
      <c r="D29" s="34" t="inlineStr">
        <is>
          <t>no</t>
        </is>
      </c>
      <c r="E29" s="34" t="inlineStr">
        <is>
          <t>Metres per second, &gt;= 0</t>
        </is>
      </c>
    </row>
    <row r="30" ht="26" customHeight="1">
      <c r="A30" s="37" t="inlineStr">
        <is>
          <t>Truck</t>
        </is>
      </c>
      <c r="B30" s="36" t="inlineStr">
        <is>
          <t>headingDeg</t>
        </is>
      </c>
      <c r="C30" s="37" t="inlineStr">
        <is>
          <t>number</t>
        </is>
      </c>
      <c r="D30" s="37" t="inlineStr">
        <is>
          <t>no</t>
        </is>
      </c>
      <c r="E30" s="37" t="inlineStr">
        <is>
          <t>0..&lt;360; 0 = north</t>
        </is>
      </c>
    </row>
    <row r="31" ht="26" customHeight="1">
      <c r="A31" s="34" t="inlineStr">
        <is>
          <t>Truck</t>
        </is>
      </c>
      <c r="B31" s="33" t="inlineStr">
        <is>
          <t>zone</t>
        </is>
      </c>
      <c r="C31" s="34" t="inlineStr">
        <is>
          <t>string</t>
        </is>
      </c>
      <c r="D31" s="34" t="inlineStr">
        <is>
          <t>no</t>
        </is>
      </c>
      <c r="E31" s="34" t="inlineStr">
        <is>
          <t>Future grouping</t>
        </is>
      </c>
    </row>
    <row r="32" ht="26" customHeight="1">
      <c r="A32" s="37" t="inlineStr">
        <is>
          <t>Truck</t>
        </is>
      </c>
      <c r="B32" s="36" t="inlineStr">
        <is>
          <t>batteryPct</t>
        </is>
      </c>
      <c r="C32" s="37" t="inlineStr">
        <is>
          <t>number</t>
        </is>
      </c>
      <c r="D32" s="37" t="inlineStr">
        <is>
          <t>no</t>
        </is>
      </c>
      <c r="E32" s="37" t="inlineStr">
        <is>
          <t>0..100</t>
        </is>
      </c>
    </row>
  </sheetData>
  <autoFilter ref="A4:E32"/>
  <mergeCells count="2">
    <mergeCell ref="A2:E2"/>
    <mergeCell ref="A1:E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2026-10-28T14:03:29Z</dcterms:created>
  <dcterms:modified xmlns:dcterms="http://purl.org/dc/terms/" xmlns:xsi="http://www.w3.org/2001/XMLSchema-instance" xsi:type="dcterms:W3CDTF">2026-10-28T14:03:29Z</dcterms:modified>
</cp:coreProperties>
</file>